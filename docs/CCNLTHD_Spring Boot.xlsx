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quan" sheetId="1" r:id="rId5"/>
    <sheet state="visible" name="Ke_hoach_5_tuan" sheetId="2" r:id="rId6"/>
    <sheet state="visible" name="Phan_cong_3_TV" sheetId="3" r:id="rId7"/>
    <sheet state="visible" name="Checklist_bao_cao" sheetId="4" r:id="rId8"/>
    <sheet state="visible" name="Bang_phu_ky_thuat" sheetId="5" r:id="rId9"/>
  </sheets>
  <definedNames/>
  <calcPr/>
</workbook>
</file>

<file path=xl/sharedStrings.xml><?xml version="1.0" encoding="utf-8"?>
<sst xmlns="http://schemas.openxmlformats.org/spreadsheetml/2006/main" count="842" uniqueCount="408">
  <si>
    <t>PHÂN CÔNG VAI TRÒ VÀ TRÁCH NHIỆM – 3 THÀNH VIÊN</t>
  </si>
  <si>
    <t>Thành viên</t>
  </si>
  <si>
    <t>Vai trò chính</t>
  </si>
  <si>
    <t>Phạm vi phụ trách chính</t>
  </si>
  <si>
    <t>Yêu cầu hiểu chéo</t>
  </si>
  <si>
    <t>Thành viên 1</t>
  </si>
  <si>
    <t>Spring Boot Core + kiến trúc + Controller/Service</t>
  </si>
  <si>
    <t>IoC/DI, REST Controller-Service, kiến trúc project, Course/Category, Chương 1-4, 11-12, luyện hands-on</t>
  </si>
  <si>
    <t>Không được bỏ qua JPA/Validation/Exception/Cache; phải review chéo và làm mock lab.</t>
  </si>
  <si>
    <t>Thành viên 2</t>
  </si>
  <si>
    <t>JPA + Database + Validation + Testing</t>
  </si>
  <si>
    <t>ERD/JPA, Student/Enrollment, Bean Validation, test, đo Cache, Chương 5, 12.2-12.3, phụ lục tiến độ</t>
  </si>
  <si>
    <t>Phải hiểu DI/Controller/Exception/Cache để qua thực hành ngẫu nhiên.</t>
  </si>
  <si>
    <t>Thành viên 3</t>
  </si>
  <si>
    <t>Exception + Cache + DevOps/Tầng 2</t>
  </si>
  <si>
    <t>Global Exception Handler, Cache, Git/CI/Docker/README, Chương 3, 6-7, AI Disclosure, Hands-on Lab</t>
  </si>
  <si>
    <t>Phải hiểu JPA/Validation/Controller-Service và có thể sửa API tại chỗ.</t>
  </si>
  <si>
    <t>Số task chính</t>
  </si>
  <si>
    <t>Hoàn thành</t>
  </si>
  <si>
    <t>Đang làm</t>
  </si>
  <si>
    <t>Còn lại</t>
  </si>
  <si>
    <t>ID</t>
  </si>
  <si>
    <t>Phần / Chương</t>
  </si>
  <si>
    <t>Tổng</t>
  </si>
  <si>
    <t>Tuần</t>
  </si>
  <si>
    <t>TV1 trọng tâm</t>
  </si>
  <si>
    <t>TV2 trọng tâm</t>
  </si>
  <si>
    <t>TV3 trọng tâm</t>
  </si>
  <si>
    <t>Review chéo</t>
  </si>
  <si>
    <t>Mốc chung</t>
  </si>
  <si>
    <t>Tuần 1</t>
  </si>
  <si>
    <t>Core/architecture/Ch1</t>
  </si>
  <si>
    <t>Yêu cầu phải có</t>
  </si>
  <si>
    <t>ERD/DB/JPA setup</t>
  </si>
  <si>
    <t>Git/Docker/README/Ch3</t>
  </si>
  <si>
    <t>Mỗi người review 1 phần của người khác</t>
  </si>
  <si>
    <t>Công việc lớn</t>
  </si>
  <si>
    <t>Repo + môi trường + Ch1-3</t>
  </si>
  <si>
    <t>Tuần 2</t>
  </si>
  <si>
    <t>DI/Controller-Service</t>
  </si>
  <si>
    <t>JPA + Bean Validation</t>
  </si>
  <si>
    <t>Global Exception Handler</t>
  </si>
  <si>
    <t>Bộ câu hỏi thực hành</t>
  </si>
  <si>
    <t>T1 + Ch4-6</t>
  </si>
  <si>
    <t>Công việc chi tiết cần làm</t>
  </si>
  <si>
    <t>Tuần 3</t>
  </si>
  <si>
    <t>Course/Category + Ch11</t>
  </si>
  <si>
    <t>Student/Enrollment + test</t>
  </si>
  <si>
    <t>Minh chứng / Kết quả mong đợi</t>
  </si>
  <si>
    <t>Exception toàn hệ thống + CI</t>
  </si>
  <si>
    <t>Người phụ trách chính</t>
  </si>
  <si>
    <t>Review API &amp; test</t>
  </si>
  <si>
    <t>Main flow + T2</t>
  </si>
  <si>
    <t>Tuần 4</t>
  </si>
  <si>
    <t>Refactor/integration + Ch12</t>
  </si>
  <si>
    <t>Đo cache + bảng phủ</t>
  </si>
  <si>
    <t>Cache + Ch7</t>
  </si>
  <si>
    <t>Regression test</t>
  </si>
  <si>
    <t>Phụ trách</t>
  </si>
  <si>
    <t>T3 + số liệu</t>
  </si>
  <si>
    <t>Tuần 5</t>
  </si>
  <si>
    <t>Ch13-14 + mock lab</t>
  </si>
  <si>
    <t>Phụ lục + chấm chéo lab</t>
  </si>
  <si>
    <t>AI Disclosure + lab + hồ sơ</t>
  </si>
  <si>
    <t>Bốc ngẫu nhiên thực hành</t>
  </si>
  <si>
    <t>Niêm phong và nộp</t>
  </si>
  <si>
    <t>Hạn</t>
  </si>
  <si>
    <t>Người phối hợp</t>
  </si>
  <si>
    <t>Trạng thái</t>
  </si>
  <si>
    <t>Tầng / Phần báo cáo</t>
  </si>
  <si>
    <t>Sản phẩm / Minh chứng</t>
  </si>
  <si>
    <t>Trang tiêu đề</t>
  </si>
  <si>
    <t>Ưu tiên</t>
  </si>
  <si>
    <t>Ghi chú</t>
  </si>
  <si>
    <t>Tên đề tài: “Tìm hiểu và ứng dụng công nghệ Spring Boot”; gọi đúng Spring Boot là backend framework.</t>
  </si>
  <si>
    <t>Trang bìa đúng mẫu</t>
  </si>
  <si>
    <t>Chốt phạm vi đề tài</t>
  </si>
  <si>
    <t>Đọc lại yêu cầu môn học; xác nhận công nghệ chính là Spring Boot; ghi rõ Tầng 1 bắt buộc: IoC/DI, REST Controller + Service, Spring Data JPA; chọn thêm Bean Validation + Global Exception Handler; Tầng 3 đề xuất Cache.</t>
  </si>
  <si>
    <t>TV2, TV3</t>
  </si>
  <si>
    <t>Mở đầu / Phần 1</t>
  </si>
  <si>
    <t>Biên bản chốt scope + danh sách nội dung T1/T2/T3</t>
  </si>
  <si>
    <t>Cuối Tuần 1</t>
  </si>
  <si>
    <t>Cao</t>
  </si>
  <si>
    <t>Chưa bắt đầu</t>
  </si>
  <si>
    <t>Lời mở đầu - Lý do</t>
  </si>
  <si>
    <t>Nêu lý do chọn Spring Boot, tính mới với sinh viên, mức độ phổ biến/ứng dụng và định hướng nghề nghiệp.</t>
  </si>
  <si>
    <t>1-2 đoạn có nguồn</t>
  </si>
  <si>
    <t>Khảo sát Spring Boot</t>
  </si>
  <si>
    <t>Tìm hiểu lịch sử, tổ chức phát triển, loại công nghệ (backend framework), pain-point giải quyết, hệ sinh thái và kiến trúc tổng quan; ghi nguồn tài liệu chính hãng để dùng cho Chương 1.</t>
  </si>
  <si>
    <t>TV2</t>
  </si>
  <si>
    <t>Chương 1</t>
  </si>
  <si>
    <t>Nháp Chương 1 + danh sách nguồn</t>
  </si>
  <si>
    <t>Lời mở đầu - Mục tiêu</t>
  </si>
  <si>
    <t>Mục tiêu kiến thức phải liệt kê Tầng 1 bắt buộc; mục tiêu kỹ năng nêu Bean Validation, Global Exception Handler và Cache.</t>
  </si>
  <si>
    <t>Danh sách mục tiêu rõ ràng</t>
  </si>
  <si>
    <t>So sánh công nghệ</t>
  </si>
  <si>
    <t>Lời mở đầu - Phạm vi</t>
  </si>
  <si>
    <t>Chuẩn bị tiêu chí so sánh Spring Boot với 1-2 đối thủ trực tiếp; lập kế hoạch trải nghiệm/đo thực tế thay vì chỉ dịch blog; xác định ít nhất 2 trường hợp KHÔNG NÊN dùng Spring Boot.</t>
  </si>
  <si>
    <t>Nêu phạm vi 5 tuần, phạm vi công nghệ và case study quản lý khóa học ở mức minh họa.</t>
  </si>
  <si>
    <t>TV3</t>
  </si>
  <si>
    <t>Phạm vi không quá rộng</t>
  </si>
  <si>
    <t>Chương 1.3 / Chương 2</t>
  </si>
  <si>
    <t>Bảng tiêu chí so sánh + kế hoạch đo</t>
  </si>
  <si>
    <t>Cuối Tuần 2</t>
  </si>
  <si>
    <t>Trung bình</t>
  </si>
  <si>
    <t>Lời mở đầu - Kế hoạch</t>
  </si>
  <si>
    <t>Bảng tiến độ 5 tuần được rút gọn nhưng vẫn phủ môi trường, T1, T2, T3, đồ án, lab, báo cáo.</t>
  </si>
  <si>
    <t>Bảng kế hoạch</t>
  </si>
  <si>
    <t>Khởi tạo dự án</t>
  </si>
  <si>
    <t>Tạo Spring Boot project, cấu trúc package controller/service/repository/entity/dto/exception/config; tạo endpoint /api/health; bật Swagger/OpenAPI.</t>
  </si>
  <si>
    <t>Chương 3</t>
  </si>
  <si>
    <t>Project chạy + Swagger + health endpoint</t>
  </si>
  <si>
    <t>Bối cảnh/lịch sử; kiến trúc/nguyên lý; gọi đúng loại; so sánh dựa trên trải nghiệm nhóm; ít nhất 2 trường hợp không nên dùng.</t>
  </si>
  <si>
    <t>Nháp + bảng so sánh</t>
  </si>
  <si>
    <t>Thiết kế dữ liệu case study</t>
  </si>
  <si>
    <t>Chương 2</t>
  </si>
  <si>
    <t>Chốt case study quản lý khóa học trực tuyến ở mức minh họa; thiết kế ERD tối thiểu Course, Category, Student, Enrollment; nêu cardinality và khóa chính/ngoại.</t>
  </si>
  <si>
    <t>Phạm vi ứng dụng; 2-3 trường hợp tiêu biểu; tình hình sử dụng; xu hướng/giới hạn; nguồn và ngày khảo sát.</t>
  </si>
  <si>
    <t>TV1</t>
  </si>
  <si>
    <t>1-2 trang cô đọng</t>
  </si>
  <si>
    <t>Chương 11 (nháp)</t>
  </si>
  <si>
    <t>ERD v1</t>
  </si>
  <si>
    <t>Công cụ, cài đặt tóm tắt, kiến trúc dự án, minh chứng môi trường kết nối thành công.</t>
  </si>
  <si>
    <t>Ảnh/log/file cấu hình</t>
  </si>
  <si>
    <t>Thiết lập CSDL</t>
  </si>
  <si>
    <t>Dựng MySQL/PostgreSQL bằng Docker Compose; cấu hình datasource; kiểm tra Spring Boot kết nối DB và tạo bảng bằng JPA.</t>
  </si>
  <si>
    <t>Chương 4</t>
  </si>
  <si>
    <t>IoC/DI; REST Controller + Service; Spring Data JPA. Mỗi mục: cơ chế → code → kết quả → ý nghĩa/vị trí trong đồ án.</t>
  </si>
  <si>
    <t>Bảng minh chứng T1</t>
  </si>
  <si>
    <t>docker-compose + log kết nối DB + ảnh bảng</t>
  </si>
  <si>
    <t>Chương 5</t>
  </si>
  <si>
    <t>Bean Validation: lý do chọn, cơ chế, DTO/annotation, thực nghiệm request sai, kết quả và vị trí trong đồ án.</t>
  </si>
  <si>
    <t>Code + test + response</t>
  </si>
  <si>
    <t>Quy trình Git</t>
  </si>
  <si>
    <t>Tạo GitHub repo, nhánh main/develop/feature, quy ước commit/PR, .gitignore, README khởi đầu; bảo đảm mỗi thành viên có commit thực chất.</t>
  </si>
  <si>
    <t>TV1, TV2</t>
  </si>
  <si>
    <t>Tầng 2 / Phụ lục 2</t>
  </si>
  <si>
    <t>Chương 6</t>
  </si>
  <si>
    <t>Repo + branch convention + commit evidence</t>
  </si>
  <si>
    <t>Global Exception Handler: AppException/ErrorCode/ApiResponse; validation exception và business exception; response chuẩn.</t>
  </si>
  <si>
    <t>KẾ HOẠCH 5 TUẦN – TÌM HIỂU VÀ ỨNG DỤNG SPRING BOOT</t>
  </si>
  <si>
    <t>Hạng mục</t>
  </si>
  <si>
    <t>Nội dung chốt</t>
  </si>
  <si>
    <t>Chương 7</t>
  </si>
  <si>
    <t>KPI</t>
  </si>
  <si>
    <t>Quản lý cấu hình và secret</t>
  </si>
  <si>
    <t>Giá trị</t>
  </si>
  <si>
    <t>Công nghệ chính</t>
  </si>
  <si>
    <t>Cache: sử dụng Spring Cache + Redis; giải thích vai trò cache abstraction và Redis; hit/miss, TTL, invalidation, before/after measurement và giới hạn/đánh đổi.</t>
  </si>
  <si>
    <t>Spring Boot (Backend Framework)</t>
  </si>
  <si>
    <t>Tách cấu hình môi trường, tạo .env.example hoặc biến môi trường; không commit password/secret; ghi hướng dẫn chạy lại dự án.</t>
  </si>
  <si>
    <t>Tổng công việc</t>
  </si>
  <si>
    <t>Bảng số liệu + log/query DB + minh chứng dữ liệu/key trong Redis</t>
  </si>
  <si>
    <t>Case study</t>
  </si>
  <si>
    <t>Quản lý khóa học trực tuyến – dùng để chứng minh việc vận dụng công nghệ</t>
  </si>
  <si>
    <t>Tầng 2 / Chương 3</t>
  </si>
  <si>
    <t>.env.example + README setup</t>
  </si>
  <si>
    <t>Chương 11</t>
  </si>
  <si>
    <t>Mô tả bài toán; user story; ERD; API; luồng nghiệp vụ. Case study chỉ để chứng minh vận dụng Spring Boot.</t>
  </si>
  <si>
    <t>ERD + API spec</t>
  </si>
  <si>
    <t>Tầng 1 bắt buộc</t>
  </si>
  <si>
    <t>Viết báo cáo nền</t>
  </si>
  <si>
    <t>IoC &amp; Dependency Injection; REST Controller + Service; Spring Data JPA</t>
  </si>
  <si>
    <t>Chương 12.1</t>
  </si>
  <si>
    <t>Hoàn thiện Lời mở đầu (lý do, mục tiêu, phạm vi, kế hoạch 5 tuần) và nháp Chương 1-3; không viết cài đặt dài dòng, phải có minh chứng kiến trúc và môi trường.</t>
  </si>
  <si>
    <t>Tích hợp: module nào dùng trực tiếp kiến thức đã học, phần nào refactor, phần nào chỉ là thí nghiệm độc lập.</t>
  </si>
  <si>
    <t>Mapping kiến thức → sản phẩm</t>
  </si>
  <si>
    <t>Lời mở đầu + Chương 1-3</t>
  </si>
  <si>
    <t>Chọn thêm</t>
  </si>
  <si>
    <t>Bản nháp báo cáo v0.1</t>
  </si>
  <si>
    <t>Bean Validation; Global Exception Handler</t>
  </si>
  <si>
    <t>Bị chặn</t>
  </si>
  <si>
    <t>Chương 12.2</t>
  </si>
  <si>
    <t>Tầng 3 đề xuất</t>
  </si>
  <si>
    <t>Cache – sử dụng Spring Cache + Redis; tập trung cache hit/miss, TTL, invalidation và đo hiệu năng trước/sau</t>
  </si>
  <si>
    <t>Tiến độ</t>
  </si>
  <si>
    <t>Kết quả backend/API: Swagger/OpenAPI, test endpoint, dữ liệu sau test, log/số liệu latency khi có Cache.</t>
  </si>
  <si>
    <t>Ảnh + test report + số liệu</t>
  </si>
  <si>
    <t>Chương 12.3</t>
  </si>
  <si>
    <t>IoC và Dependency Injection</t>
  </si>
  <si>
    <t>Bảng phủ kỹ thuật: chỉ khai nội dung thật có trong repo/chuẩn kỹ nghệ; T1 phải có trong đồ án.</t>
  </si>
  <si>
    <t>Thực hành bean lifecycle ở mức cần thiết; dùng constructor injection; giải thích ai tạo bean, Spring Container quản lý gì, và mất gì nếu tự new dependency.</t>
  </si>
  <si>
    <t>Bảng phủ kỹ thuật</t>
  </si>
  <si>
    <t>Nhóm</t>
  </si>
  <si>
    <t>3 thành viên – mọi người phải hiểu toàn bộ vì có thể bị bốc thực hành tại chỗ</t>
  </si>
  <si>
    <t>Tầng</t>
  </si>
  <si>
    <t>Chương 4.1</t>
  </si>
  <si>
    <t>Code + sơ đồ + log/minh chứng DI</t>
  </si>
  <si>
    <t>Mốc bắt buộc theo 5 tuần</t>
  </si>
  <si>
    <t>Chương 13.1</t>
  </si>
  <si>
    <t>Đối chiếu mục tiêu ban đầu với kết quả; giải thích thay đổi/bỏ phạm vi.</t>
  </si>
  <si>
    <t>Nội dung kỹ thuật</t>
  </si>
  <si>
    <t>Bảng đối chiếu</t>
  </si>
  <si>
    <t>Loại yêu cầu</t>
  </si>
  <si>
    <t>REST Controller + Service</t>
  </si>
  <si>
    <t>Dùng ở đâu trong đồ án</t>
  </si>
  <si>
    <t>Xây CourseController và CourseService; tách business logic khỏi controller; mô tả luồng request Controller → Service → Repository → DB.</t>
  </si>
  <si>
    <t>Phụ trách chính</t>
  </si>
  <si>
    <t>Minh chứng / Số liệu cần chuẩn bị</t>
  </si>
  <si>
    <t>Chương 4.2</t>
  </si>
  <si>
    <t>Chương 13.2</t>
  </si>
  <si>
    <t>API CRUD Course + sơ đồ luồng</t>
  </si>
  <si>
    <t>Phân tích 1-2 lỗi khó/thú vị; có ảnh log và code sửa.</t>
  </si>
  <si>
    <t>T1</t>
  </si>
  <si>
    <t>Ảnh + before/after code</t>
  </si>
  <si>
    <t>IoC &amp; Dependency Injection</t>
  </si>
  <si>
    <t>Bắt buộc lõi</t>
  </si>
  <si>
    <t>CourseService và dependency injection</t>
  </si>
  <si>
    <t>Code/service + sơ đồ + log</t>
  </si>
  <si>
    <t>Chương 13.3</t>
  </si>
  <si>
    <t>Repo + môi trường + DB + Swagger + ERD + nháp Lời mở đầu/Chương 1-3</t>
  </si>
  <si>
    <t>AI Disclosure: công cụ, mục đích, phần AI sinh cao, ít nhất 2 tình huống AI sai và cách sửa, tự đánh giá.</t>
  </si>
  <si>
    <t>Spring Data JPA</t>
  </si>
  <si>
    <t>AI Disclosure đầy đủ</t>
  </si>
  <si>
    <t>Tạo Entity/Repository cho Course, Category, Student, Enrollment; cấu hình quan hệ; viết truy vấn repository cần thiết và giải thích cơ chế proxy repository ở mức môn học yêu cầu.</t>
  </si>
  <si>
    <t>Chương 4.3</t>
  </si>
  <si>
    <t>Entities + repositories + dữ liệu test</t>
  </si>
  <si>
    <t>Chương 14</t>
  </si>
  <si>
    <t>Hướng phát triển sản phẩm và lộ trình học Spring Boot tiếp theo.</t>
  </si>
  <si>
    <t>Hoàn thành Tầng 1 + Bean Validation + Global Exception Handler + Chương 4-6</t>
  </si>
  <si>
    <t>1 trang</t>
  </si>
  <si>
    <t>Course/Category/Student/Enrollment API</t>
  </si>
  <si>
    <t>Swagger + controller/service</t>
  </si>
  <si>
    <t>Bean Validation</t>
  </si>
  <si>
    <t>Tài liệu tham khảo</t>
  </si>
  <si>
    <t>Thiết kế DTO request và validation rule: @NotBlank, @Size, @PositiveOrZero, @Email, @NotNull...; test request sai và chứng minh business logic không chạy khi input invalid.</t>
  </si>
  <si>
    <t>Ưu tiên tài liệu chính hãng của Spring; ghi nguồn đã thực sự đọc và dùng.</t>
  </si>
  <si>
    <t>Danh mục nguồn</t>
  </si>
  <si>
    <t>Main flow case study + test/CI/Tầng 2 + Chương 11</t>
  </si>
  <si>
    <t>Entity, Repository, quan hệ và query</t>
  </si>
  <si>
    <t>DTO + validation tests + response 400</t>
  </si>
  <si>
    <t>Code repository + DB data</t>
  </si>
  <si>
    <t>Phụ lục 1</t>
  </si>
  <si>
    <t>T1+</t>
  </si>
  <si>
    <t>Weekly Log khớp với commit, nội dung công việc và mốc thời gian.</t>
  </si>
  <si>
    <t>Cache + số liệu before/after + Chương 7/12 + Bảng phủ kỹ thuật</t>
  </si>
  <si>
    <t>Bảng log 5 tuần</t>
  </si>
  <si>
    <t>Chương 13-14 + AI Disclosure + phụ lục + Lab + slide + niêm phong commit</t>
  </si>
  <si>
    <t>Create/Update DTO; validation lỗi đầu vào</t>
  </si>
  <si>
    <t>Nguyên tắc</t>
  </si>
  <si>
    <t>Không thêm feature lớn sau Tuần 4; ưu tiên chứng minh, kiểm thử, báo cáo và luyện thực hành.</t>
  </si>
  <si>
    <t>Thiết kế AppException/ErrorCode/ApiResponse; @RestControllerAdvice xử lý exception nghiệp vụ và MethodArgumentNotValidException; chuẩn hóa code/message/timestamp.</t>
  </si>
  <si>
    <t>DTO + 400 response + test</t>
  </si>
  <si>
    <t>GlobalExceptionHandler + mẫu response chuẩn</t>
  </si>
  <si>
    <t>Validation + business exception toàn API</t>
  </si>
  <si>
    <t>Handler + ApiResponse + test</t>
  </si>
  <si>
    <t>Phụ lục 2</t>
  </si>
  <si>
    <t>T2</t>
  </si>
  <si>
    <t>Minh chứng Contributors/commit history; commit rải đều.</t>
  </si>
  <si>
    <t>Quản lý phiên bản</t>
  </si>
  <si>
    <t>Ảnh GitHub</t>
  </si>
  <si>
    <t>Bắt buộc theo đặc thù</t>
  </si>
  <si>
    <t>Business exception</t>
  </si>
  <si>
    <t>Feature branch, PR, review chéo</t>
  </si>
  <si>
    <t>Tạo tối thiểu CourseNotFound, CategoryNotFound, EnrollmentAlreadyExists hoặc ErrorCode tương đương; phân biệt input validation và business rule validation.</t>
  </si>
  <si>
    <t>Repo/PR/commit history</t>
  </si>
  <si>
    <t>Phụ lục 3</t>
  </si>
  <si>
    <t>3 tình huống lỗi nghiệp vụ + test</t>
  </si>
  <si>
    <t>Khả năng tái lập</t>
  </si>
  <si>
    <t>Bảng tự kiểm ba tầng: T1 lõi/chọn thêm, T2 áp dụng, T3 Cache.</t>
  </si>
  <si>
    <t>Bảng tự kiểm</t>
  </si>
  <si>
    <t>Docker Compose DB + README</t>
  </si>
  <si>
    <t>docker-compose + README</t>
  </si>
  <si>
    <t>Quản lý bí mật</t>
  </si>
  <si>
    <t>Thực nghiệm bắt buộc lõi</t>
  </si>
  <si>
    <t>Mỗi mục Tầng 1 phải có chuỗi: khái niệm/cơ chế → thực hành/code → kết quả → giải thích → vị trí trong đồ án; lưu ảnh/log/file/commit để truy vết.</t>
  </si>
  <si>
    <t>Hands-on Lab</t>
  </si>
  <si>
    <t>Environment variables/.env.example</t>
  </si>
  <si>
    <t>Lab 30-45 phút, chủ đề chạm phần nhóm hiểu thật; mục tiêu, môi trường, starter code, bước, bài tập, đáp án, lỗi thường gặp.</t>
  </si>
  <si>
    <t>Config + git history</t>
  </si>
  <si>
    <t>File lab + starter</t>
  </si>
  <si>
    <t>Bảng minh chứng Chương 4 hoàn chỉnh</t>
  </si>
  <si>
    <t>Slide</t>
  </si>
  <si>
    <t>5-7 slide: bài toán, kiến trúc, bảng phủ kỹ thuật, demo nhanh; tập trung Spring Boot hơn nghiệp vụ.</t>
  </si>
  <si>
    <t>Hoàn thiện Chương 4-6</t>
  </si>
  <si>
    <t>Kiểm thử</t>
  </si>
  <si>
    <t>PPT/PDF slide</t>
  </si>
  <si>
    <t>Viết báo cáo cho 3 nội dung lõi + Bean Validation + Global Exception Handler; tuyệt đối không chỉ mô tả lý thuyết, phải chỉ file/code/log/kết quả.</t>
  </si>
  <si>
    <t>Service/repository/API tests</t>
  </si>
  <si>
    <t>Test report</t>
  </si>
  <si>
    <t>TV1, TV3</t>
  </si>
  <si>
    <t>Chương 4-6</t>
  </si>
  <si>
    <t>Bản nháp báo cáo v0.2</t>
  </si>
  <si>
    <t>Video demo</t>
  </si>
  <si>
    <t>Tích hợp liên tục</t>
  </si>
  <si>
    <t>2-3 phút nếu thực hiện; quay luồng chính + minh chứng validation/exception/cache.</t>
  </si>
  <si>
    <t>GitHub Actions build/test</t>
  </si>
  <si>
    <t>Video</t>
  </si>
  <si>
    <t>CI run</t>
  </si>
  <si>
    <t>Bảo mật mức nhận biết</t>
  </si>
  <si>
    <t>Validation, ORM chống SQL injection, CORS hợp lý, không lộ secret</t>
  </si>
  <si>
    <t>TV1 review phần JPA/Validation; TV2 review Exception; TV3 review Controller/DI; mỗi người ghi ít nhất 3 câu hỏi có thể bị hỏi khi thực hành tại chỗ.</t>
  </si>
  <si>
    <t>Checklist bảo mật</t>
  </si>
  <si>
    <t>Chuẩn bị hands-on</t>
  </si>
  <si>
    <t>Biên bản review + bộ câu hỏi</t>
  </si>
  <si>
    <t>Tài liệu</t>
  </si>
  <si>
    <t>README chạy lại được + Swagger/OpenAPI</t>
  </si>
  <si>
    <t>README + Swagger</t>
  </si>
  <si>
    <t>AI Disclosure</t>
  </si>
  <si>
    <t>Bắt buộc báo cáo</t>
  </si>
  <si>
    <t>Course &amp; Category module</t>
  </si>
  <si>
    <t>Ghi cách dùng AI và 2 tình huống AI sai</t>
  </si>
  <si>
    <t>Hoàn thiện CRUD, filter/pagination cơ bản cho Course; quản lý Category; đảm bảo controller mỏng và business logic ở service.</t>
  </si>
  <si>
    <t>Chương 11-12</t>
  </si>
  <si>
    <t>T3</t>
  </si>
  <si>
    <t>API Course/Category ổn định</t>
  </si>
  <si>
    <t>Cache</t>
  </si>
  <si>
    <t>Giữa Tuần 3</t>
  </si>
  <si>
    <t>Đề xuất nâng cao dễ</t>
  </si>
  <si>
    <t>Spring Cache + Redis cho Course detail/Category list</t>
  </si>
  <si>
    <t>Hit/miss + TTL + invalidation + Redis key/data + số liệu before/after</t>
  </si>
  <si>
    <t>Student &amp; Enrollment module</t>
  </si>
  <si>
    <t>Hoàn thiện Student, Enrollment; kiểm tra trùng đăng ký khóa học; thêm quan hệ JPA và endpoint tra cứu khóa học đã đăng ký.</t>
  </si>
  <si>
    <t>API Student/Enrollment ổn định</t>
  </si>
  <si>
    <t>Căn cứ lập kế hoạch: “Danh mục công nghệ và yêu cầu học tập” (Spring Boot: F2; Tầng 2: Phần D; Cache: C2) và “Cấu trúc báo cáo” (Lời mở đầu, Chương 1-14, Bảng phủ kỹ thuật, Hands-on Lab, Phụ lục, quy định nộp bài).</t>
  </si>
  <si>
    <t>Chuẩn hóa exception toàn hệ thống</t>
  </si>
  <si>
    <t>Rà soát mọi controller/service để không try-catch rải rác; map lỗi validation, not found, conflict, uncategorized vào response thống nhất.</t>
  </si>
  <si>
    <t>Chương 6 / 12</t>
  </si>
  <si>
    <t>Danh sách error code + test response</t>
  </si>
  <si>
    <t>Cuối Tuần 3</t>
  </si>
  <si>
    <t>Test Service/Repository/API</t>
  </si>
  <si>
    <t>Viết unit/service test, repository test hoặc API test phù hợp; ưu tiên các luồng Course, Enrollment, validation và exception.</t>
  </si>
  <si>
    <t>Tầng 2 / Chương 12</t>
  </si>
  <si>
    <t>Test report + ảnh/log pass</t>
  </si>
  <si>
    <t>GitHub Actions CI</t>
  </si>
  <si>
    <t>Tạo workflow chạy build và test khi push/PR; lưu ảnh run thành công và một ví dụ run fail đã được sửa nếu có.</t>
  </si>
  <si>
    <t>Tầng 2 / Phụ lục</t>
  </si>
  <si>
    <t>ci.yml + Actions evidence</t>
  </si>
  <si>
    <t>Tài liệu API</t>
  </si>
  <si>
    <t>Hoàn thiện Swagger/OpenAPI: nhóm endpoint, mô tả request/response, status code; chuẩn bị Collection Runner/Postman nếu cần minh chứng.</t>
  </si>
  <si>
    <t>Chương 12</t>
  </si>
  <si>
    <t>Swagger + Postman collection</t>
  </si>
  <si>
    <t>Chương 11 - Phân tích thiết kế</t>
  </si>
  <si>
    <t>Mô tả bài toán quản lý khóa học chỉ như case study; viết user stories, ERD, đặc tả API, luồng dữ liệu/nghiệp vụ; không để nghiệp vụ lấn át trọng tâm Spring Boot.</t>
  </si>
  <si>
    <t>Chương 11 hoàn chỉnh v1</t>
  </si>
  <si>
    <t>Tầng 2 - kỹ nghệ phần mềm</t>
  </si>
  <si>
    <t>Rà checklist Git/PR, tái lập môi trường, secret, testing, CI, security mức nhận biết, README/API docs; ghi mục nào chưa áp dụng và lý do.</t>
  </si>
  <si>
    <t>Phần D / Phụ lục 3</t>
  </si>
  <si>
    <t>Checklist Tầng 2</t>
  </si>
  <si>
    <t>Weekly Log &amp; minh chứng nhóm</t>
  </si>
  <si>
    <t>Cập nhật log tuần, người thực hiện, khó khăn/kết quả; chụp Contributors/commit history; bảo đảm commit rải đều và khớp nội dung báo cáo.</t>
  </si>
  <si>
    <t>Phụ lục 1-2</t>
  </si>
  <si>
    <t>Weekly Log tuần 1-3</t>
  </si>
  <si>
    <t>Tầng 3 - Cache</t>
  </si>
  <si>
    <t>Chọn kỹ thuật Cache theo tài liệu môn học: Spring Cache + Redis. Thêm Redis vào Docker Compose; thêm dependency Spring Data Redis/Cache; cấu hình kết nối, @EnableCaching và TTL phù hợp. Chọn use case đọc nhiều, thay đổi ít: Course detail và Category list; mô tả cache-aside ở mức ứng dụng.</t>
  </si>
  <si>
    <t>Chương 7 / Tầng 3</t>
  </si>
  <si>
    <t>Thiết kế cache + cấu hình dependency</t>
  </si>
  <si>
    <t>Đầu Tuần 4</t>
  </si>
  <si>
    <t>Redis là lựa chọn chính vì được tài liệu môn học nêu trực tiếp ở mục Cache và tối ưu truy vấn.</t>
  </si>
  <si>
    <t>Áp dụng @Cacheable</t>
  </si>
  <si>
    <t>Áp dụng @Cacheable cho GET /api/courses/{id} và/hoặc GET /api/categories; kiểm tra cache miss/hit bằng log, số lần query DB và dữ liệu/key trong Redis (redis-cli hoặc công cụ tương đương).</t>
  </si>
  <si>
    <t>Code @Cacheable + log hit/miss</t>
  </si>
  <si>
    <t>Giữa Tuần 4</t>
  </si>
  <si>
    <t>Cache invalidation</t>
  </si>
  <si>
    <t>Dùng @CacheEvict hoặc chiến lược tương đương khi update/delete; chứng minh sau khi sửa Course thì cache Redis cũ bị xóa/đổi và request tiếp theo không trả dữ liệu cũ.</t>
  </si>
  <si>
    <t>Kịch bản invalidation + kết quả</t>
  </si>
  <si>
    <t>Đo hiệu năng cache</t>
  </si>
  <si>
    <t>Chạy cùng một workload trước/sau cache; ghi average/min/max latency hoặc số query DB; không bịa số liệu, lưu script/cách đo và điều kiện máy.</t>
  </si>
  <si>
    <t>Chương 7 / 12</t>
  </si>
  <si>
    <t>Bảng số liệu thực nghiệm</t>
  </si>
  <si>
    <t>Cuối Tuần 4</t>
  </si>
  <si>
    <t>Tích hợp và refactor</t>
  </si>
  <si>
    <t>Rà soát toàn bộ module, xóa code trùng, chuẩn hóa DTO/mapper/response, kiểm tra transaction ở nghiệp vụ cần thiết; không thêm feature lớn.</t>
  </si>
  <si>
    <t>Main flow ổn định end-to-end</t>
  </si>
  <si>
    <t>Chương 7 - Cache</t>
  </si>
  <si>
    <t>Viết lý do chọn Redis, vai trò Spring Cache abstraction và Redis cache provider; trình bày hit/miss, TTL, invalidation, code, kịch bản thực nghiệm và số liệu trước/sau; nêu giới hạn/đánh đổi như phụ thuộc network, serialization và vận hành thêm một service.</t>
  </si>
  <si>
    <t>Chương 7 hoàn chỉnh</t>
  </si>
  <si>
    <t>Chương 12 - Triển khai và kết quả</t>
  </si>
  <si>
    <t>Mô tả kiến thức → quyết định → sản phẩm; đưa Swagger/test/log/số liệu latency; phân biệt phần dùng trực tiếp, phần refactor, phần chỉ là thực nghiệm độc lập.</t>
  </si>
  <si>
    <t>Chương 12 v1</t>
  </si>
  <si>
    <t>Điền T1/T2/T3 chỉ những nội dung thật sự có trong repo; ghi chức năng, file/commit/version, minh chứng/số liệu; không đưa thí nghiệm độc lập để làm tăng độ phức tạp.</t>
  </si>
  <si>
    <t>Mục 12.3</t>
  </si>
  <si>
    <t>Bảng phủ kỹ thuật v1</t>
  </si>
  <si>
    <t>Kiểm thử hồi quy</t>
  </si>
  <si>
    <t>Chạy lại toàn bộ validation/exception/JPA/cache/test sau refactor; ghi lỗi phát hiện và cách sửa để dùng cho Chương 13.2.</t>
  </si>
  <si>
    <t>Regression report + danh sách lỗi</t>
  </si>
  <si>
    <t>Chương 13 - Đánh giá</t>
  </si>
  <si>
    <t>Đối chiếu mục tiêu/phạm vi ban đầu với kết quả; giải thích thay đổi hoặc phần bỏ; phân tích 1-2 lỗi khó kèm ảnh/log và code trước/sau.</t>
  </si>
  <si>
    <t>Chương 13</t>
  </si>
  <si>
    <t>Chương 13 hoàn chỉnh</t>
  </si>
  <si>
    <t>Giữa Tuần 5</t>
  </si>
  <si>
    <t>Ghi công cụ AI đã dùng, file/chức năng có tỷ trọng AI cao, ít nhất 2 tình huống AI trả lời sai: prompt, câu trả lời sai, cách phát hiện, cách sửa; tự đánh giá phần có thể tự viết lại.</t>
  </si>
  <si>
    <t>Chương 14 - Hướng phát triển</t>
  </si>
  <si>
    <t>Nêu cải tiến sản phẩm và lộ trình tiếp tục học Spring Boot; tránh liệt kê công nghệ chỉ để làm đẹp.</t>
  </si>
  <si>
    <t>Chương 14 hoàn chỉnh</t>
  </si>
  <si>
    <t>Phụ lục &amp; tài liệu tham khảo</t>
  </si>
  <si>
    <t>Hoàn thiện Weekly Log, minh chứng nhóm, bảng tự kiểm ba tầng; rà nguồn chính hãng Spring; bảo đảm log/commit khớp thời gian và nội dung báo cáo.</t>
  </si>
  <si>
    <t>Tài liệu tham khảo + Phụ lục</t>
  </si>
  <si>
    <t>Phụ lục hoàn chỉnh</t>
  </si>
  <si>
    <t>Viết lab 30-45 phút: Bean Validation + Global Exception Handling; có mục tiêu, điều kiện môi trường, starter code, các bước, 2-3 bài tập có đáp án, lỗi thường gặp.</t>
  </si>
  <si>
    <t>File lab hoàn chỉnh + starter code</t>
  </si>
  <si>
    <t>Chấm chéo lab</t>
  </si>
  <si>
    <t>Cho thành viên không viết phần lab chạy thử đúng 30-45 phút; ghi thời gian, lỗi, bước khó; sửa lab để nhóm khác làm được mà không cần hỏi thêm.</t>
  </si>
  <si>
    <t>Biên bản chạy thử + bản lab sửa</t>
  </si>
  <si>
    <t>Cuối Tuần 5</t>
  </si>
  <si>
    <t>Hoàn thiện hồ sơ nộp</t>
  </si>
  <si>
    <t>Rà PDF báo cáo, Excel tiến độ, GitHub + commit hash, slide 5-7 trang, video demo 2-3 phút nếu làm, hands-on lab; README phải chạy lại được.</t>
  </si>
  <si>
    <t>Hồ sơ cuối kỳ</t>
  </si>
  <si>
    <t>Bộ hồ sơ hoàn chỉnh</t>
  </si>
  <si>
    <t>Luyện thực hành tại chỗ</t>
  </si>
  <si>
    <t>Bốc ngẫu nhiên 1 người; yêu cầu thêm/sửa API có validation, service, repository, exception hoặc cache; không dùng AI; đổi người cho đến khi cả 3 làm được.</t>
  </si>
  <si>
    <t>Cổng thực hành</t>
  </si>
  <si>
    <t>3 biên bản mock lab + checklist điểm yếu</t>
  </si>
  <si>
    <t>Niêm phong mã nguồn</t>
  </si>
  <si>
    <t>Chốt bảng phủ kỹ thuật và report theo đúng commit; tag/release nếu cần; ghi commit hash; kiểm tra checkout từ máy sạch và chạy theo README trước khi niêm phong.</t>
  </si>
  <si>
    <t>Nộp bài</t>
  </si>
  <si>
    <t>Commit hash niêm phong + run checklist</t>
  </si>
  <si>
    <t>Trước bảo vệ ≥24h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</si>
</sst>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375623"/>
      <name val="Carlito"/>
    </font>
    <font>
      <color theme="1"/>
      <name val="Carlito"/>
      <scheme val="minor"/>
    </font>
    <font>
      <b/>
      <sz val="11.0"/>
      <color rgb="FF1F1F1F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F75B5"/>
        <bgColor rgb="FF2F75B5"/>
      </patternFill>
    </fill>
    <fill>
      <patternFill patternType="solid">
        <fgColor rgb="FFE2F0D9"/>
        <bgColor rgb="FFE2F0D9"/>
      </patternFill>
    </fill>
    <fill>
      <patternFill patternType="solid">
        <fgColor rgb="FF980000"/>
        <bgColor rgb="FF980000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4" fontId="4" numFmtId="0" xfId="0" applyAlignment="1" applyFill="1" applyFont="1">
      <alignment horizontal="center" shrinkToFit="0" vertical="center" wrapText="1"/>
    </xf>
    <xf borderId="0" fillId="0" fontId="5" numFmtId="0" xfId="0" applyFont="1"/>
    <xf borderId="0" fillId="3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4" fontId="5" numFmtId="0" xfId="0" applyFill="1" applyFont="1"/>
    <xf borderId="0" fillId="0" fontId="3" numFmtId="9" xfId="0" applyAlignment="1" applyFont="1" applyNumberFormat="1">
      <alignment shrinkToFit="0" wrapText="1"/>
    </xf>
    <xf borderId="0" fillId="6" fontId="6" numFmtId="0" xfId="0" applyAlignment="1" applyFill="1" applyFont="1">
      <alignment vertical="center"/>
    </xf>
    <xf borderId="0" fillId="6" fontId="6" numFmtId="0" xfId="0" applyAlignment="1" applyFill="1" applyFont="1">
      <alignment shrinkToFit="0" vertical="center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C6E0B4"/>
          <bgColor rgb="FFC6E0B4"/>
        </patternFill>
      </fill>
      <border/>
    </dxf>
    <dxf>
      <font>
        <color rgb="FF9C6500"/>
      </font>
      <fill>
        <patternFill patternType="solid">
          <fgColor rgb="FFFFF2CC"/>
          <bgColor rgb="FFFFF2CC"/>
        </patternFill>
      </fill>
      <border/>
    </dxf>
    <dxf>
      <font>
        <color rgb="FF9C0006"/>
      </font>
      <fill>
        <patternFill patternType="solid">
          <fgColor rgb="FFF4CCCC"/>
          <bgColor rgb="FFF4CCCC"/>
        </patternFill>
      </fill>
      <border/>
    </dxf>
    <dxf>
      <font>
        <color rgb="FF666666"/>
      </font>
      <fill>
        <patternFill patternType="solid">
          <fgColor rgb="FFE7E6E6"/>
          <bgColor rgb="FFE7E6E6"/>
        </patternFill>
      </fill>
      <border/>
    </dxf>
  </dxfs>
  <tableStyles count="3">
    <tableStyle count="4" pivot="0" name="Ke_hoach_5_tu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list_bao_ca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ng_phu_ky_thua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Phân bổ số công việc chính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Số task chính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Tong_quan!$D$11:$D$13</c:f>
            </c:strRef>
          </c:cat>
          <c:val>
            <c:numRef>
              <c:f>Tong_quan!$E$11:$E$13</c:f>
              <c:numCache/>
            </c:numRef>
          </c:val>
        </c:ser>
        <c:axId val="1444862834"/>
        <c:axId val="497434672"/>
      </c:barChart>
      <c:catAx>
        <c:axId val="1444862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434672"/>
      </c:catAx>
      <c:valAx>
        <c:axId val="497434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86283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15</xdr:row>
      <xdr:rowOff>0</xdr:rowOff>
    </xdr:from>
    <xdr:ext cx="4562475" cy="2800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6" displayName="KeHoach5TuanTable" name="KeHoach5TuanTable" id="2">
  <tableColumns count="12">
    <tableColumn name="ID" id="1"/>
    <tableColumn name="Tuần" id="2"/>
    <tableColumn name="Công việc lớn" id="3"/>
    <tableColumn name="Công việc chi tiết cần làm" id="4"/>
    <tableColumn name="Người phụ trách chính" id="5"/>
    <tableColumn name="Người phối hợp" id="6"/>
    <tableColumn name="Tầng / Phần báo cáo" id="7"/>
    <tableColumn name="Sản phẩm / Minh chứng" id="8"/>
    <tableColumn name="Hạn" id="9"/>
    <tableColumn name="Ưu tiên" id="10"/>
    <tableColumn name="Trạng thái" id="11"/>
    <tableColumn name="Ghi chú" id="12"/>
  </tableColumns>
  <tableStyleInfo name="Ke_hoach_5_tuan-style" showColumnStripes="0" showFirstColumn="1" showLastColumn="1" showRowStripes="1"/>
</table>
</file>

<file path=xl/tables/table2.xml><?xml version="1.0" encoding="utf-8"?>
<table xmlns="http://schemas.openxmlformats.org/spreadsheetml/2006/main" ref="A1:F28" displayName="ChecklistBaoCaoTable" name="ChecklistBaoCaoTable" id="1">
  <tableColumns count="6">
    <tableColumn name="Phần / Chương" id="1"/>
    <tableColumn name="Yêu cầu phải có" id="2"/>
    <tableColumn name="Minh chứng / Kết quả mong đợi" id="3"/>
    <tableColumn name="Phụ trách" id="4"/>
    <tableColumn name="Hạn" id="5"/>
    <tableColumn name="Trạng thái" id="6"/>
  </tableColumns>
  <tableStyleInfo name="Checklist_bao_cao-style" showColumnStripes="0" showFirstColumn="1" showLastColumn="1" showRowStripes="1"/>
</table>
</file>

<file path=xl/tables/table3.xml><?xml version="1.0" encoding="utf-8"?>
<table xmlns="http://schemas.openxmlformats.org/spreadsheetml/2006/main" ref="A1:G15" displayName="BangPhuKyThuatTable" name="BangPhuKyThuatTable" id="3">
  <tableColumns count="7">
    <tableColumn name="Tầng" id="1"/>
    <tableColumn name="Nội dung kỹ thuật" id="2"/>
    <tableColumn name="Loại yêu cầu" id="3"/>
    <tableColumn name="Dùng ở đâu trong đồ án" id="4"/>
    <tableColumn name="Phụ trách chính" id="5"/>
    <tableColumn name="Minh chứng / Số liệu cần chuẩn bị" id="6"/>
    <tableColumn name="Trạng thái" id="7"/>
  </tableColumns>
  <tableStyleInfo name="Bang_phu_ky_thu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78.0"/>
    <col customWidth="1" min="3" max="3" width="8.63"/>
    <col customWidth="1" min="4" max="4" width="18.0"/>
    <col customWidth="1" min="5" max="5" width="16.0"/>
    <col customWidth="1" min="6" max="26" width="8.63"/>
  </cols>
  <sheetData>
    <row r="1" ht="30.0" customHeight="1">
      <c r="A1" s="1" t="s">
        <v>140</v>
      </c>
    </row>
    <row r="3">
      <c r="A3" s="2" t="s">
        <v>141</v>
      </c>
      <c r="B3" s="2" t="s">
        <v>142</v>
      </c>
      <c r="D3" s="2" t="s">
        <v>144</v>
      </c>
      <c r="E3" s="2" t="s">
        <v>146</v>
      </c>
    </row>
    <row r="4">
      <c r="A4" s="3" t="s">
        <v>147</v>
      </c>
      <c r="B4" s="3" t="s">
        <v>149</v>
      </c>
      <c r="D4" s="3" t="s">
        <v>151</v>
      </c>
      <c r="E4" s="3">
        <v>45.0</v>
      </c>
    </row>
    <row r="5">
      <c r="A5" s="3" t="s">
        <v>153</v>
      </c>
      <c r="B5" s="3" t="s">
        <v>154</v>
      </c>
      <c r="D5" s="3" t="s">
        <v>18</v>
      </c>
      <c r="E5" s="3">
        <f>COUNTIF(Ke_hoach_5_tuan!K2:K46,"Hoàn thành")</f>
        <v>7</v>
      </c>
    </row>
    <row r="6">
      <c r="A6" s="3" t="s">
        <v>160</v>
      </c>
      <c r="B6" s="3" t="s">
        <v>162</v>
      </c>
      <c r="D6" s="3" t="s">
        <v>19</v>
      </c>
      <c r="E6" s="3">
        <f>COUNTIF(Ke_hoach_5_tuan!K2:K46,"Đang làm")</f>
        <v>4</v>
      </c>
    </row>
    <row r="7">
      <c r="A7" s="3" t="s">
        <v>168</v>
      </c>
      <c r="B7" s="3" t="s">
        <v>170</v>
      </c>
      <c r="D7" s="3" t="s">
        <v>171</v>
      </c>
      <c r="E7" s="3">
        <f>COUNTIF(Ke_hoach_5_tuan!K2:K46,"Bị chặn")</f>
        <v>0</v>
      </c>
    </row>
    <row r="8">
      <c r="A8" s="3" t="s">
        <v>173</v>
      </c>
      <c r="B8" s="3" t="s">
        <v>174</v>
      </c>
      <c r="D8" s="3" t="s">
        <v>175</v>
      </c>
      <c r="E8" s="13">
        <f>IF(E4=0,0,E5/E4)</f>
        <v>0.1555555556</v>
      </c>
    </row>
    <row r="9">
      <c r="A9" s="3" t="s">
        <v>183</v>
      </c>
      <c r="B9" s="3" t="s">
        <v>184</v>
      </c>
    </row>
    <row r="10">
      <c r="D10" s="4" t="s">
        <v>1</v>
      </c>
      <c r="E10" s="4" t="s">
        <v>17</v>
      </c>
      <c r="F10" s="4" t="s">
        <v>18</v>
      </c>
      <c r="G10" s="4" t="s">
        <v>175</v>
      </c>
    </row>
    <row r="11">
      <c r="A11" s="14" t="s">
        <v>188</v>
      </c>
      <c r="D11" s="3" t="s">
        <v>5</v>
      </c>
      <c r="E11" s="3">
        <f>COUNTIF(Ke_hoach_5_tuan!E2:E46,D11)</f>
        <v>15</v>
      </c>
      <c r="F11" s="3">
        <f>COUNTIFS(Ke_hoach_5_tuan!E2:E46,D11,Ke_hoach_5_tuan!K2:K46,"Hoàn thành")</f>
        <v>3</v>
      </c>
      <c r="G11" s="13">
        <f t="shared" ref="G11:G14" si="1">IF(E11=0,0,F11/E11)</f>
        <v>0.2</v>
      </c>
    </row>
    <row r="12">
      <c r="A12" s="3" t="s">
        <v>30</v>
      </c>
      <c r="B12" s="3" t="s">
        <v>210</v>
      </c>
      <c r="D12" s="3" t="s">
        <v>9</v>
      </c>
      <c r="E12" s="3">
        <f>COUNTIF(Ke_hoach_5_tuan!E2:E46,D12)</f>
        <v>14</v>
      </c>
      <c r="F12" s="3">
        <f>COUNTIFS(Ke_hoach_5_tuan!E2:E46,D12,Ke_hoach_5_tuan!K2:K46,"Hoàn thành")</f>
        <v>1</v>
      </c>
      <c r="G12" s="13">
        <f t="shared" si="1"/>
        <v>0.07142857143</v>
      </c>
    </row>
    <row r="13">
      <c r="A13" s="3" t="s">
        <v>38</v>
      </c>
      <c r="B13" s="3" t="s">
        <v>219</v>
      </c>
      <c r="D13" s="3" t="s">
        <v>13</v>
      </c>
      <c r="E13" s="3">
        <f>COUNTIF(Ke_hoach_5_tuan!E2:E46,D13)</f>
        <v>16</v>
      </c>
      <c r="F13" s="3">
        <f>COUNTIFS(Ke_hoach_5_tuan!E2:E46,D13,Ke_hoach_5_tuan!K2:K46,"Hoàn thành")</f>
        <v>3</v>
      </c>
      <c r="G13" s="13">
        <f t="shared" si="1"/>
        <v>0.1875</v>
      </c>
    </row>
    <row r="14">
      <c r="A14" s="3" t="s">
        <v>45</v>
      </c>
      <c r="B14" s="3" t="s">
        <v>228</v>
      </c>
      <c r="D14" s="3" t="s">
        <v>23</v>
      </c>
      <c r="E14" s="3">
        <f t="shared" ref="E14:F14" si="2">SUM(E11:E13)</f>
        <v>45</v>
      </c>
      <c r="F14" s="3">
        <f t="shared" si="2"/>
        <v>7</v>
      </c>
      <c r="G14" s="13">
        <f t="shared" si="1"/>
        <v>0.1555555556</v>
      </c>
    </row>
    <row r="15">
      <c r="A15" s="3" t="s">
        <v>53</v>
      </c>
      <c r="B15" s="3" t="s">
        <v>235</v>
      </c>
    </row>
    <row r="16">
      <c r="A16" s="3" t="s">
        <v>60</v>
      </c>
      <c r="B16" s="3" t="s">
        <v>237</v>
      </c>
    </row>
    <row r="17">
      <c r="A17" s="3" t="s">
        <v>239</v>
      </c>
      <c r="B17" s="3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1:B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10.0"/>
    <col customWidth="1" min="3" max="3" width="28.0"/>
    <col customWidth="1" min="4" max="4" width="68.0"/>
    <col customWidth="1" min="5" max="5" width="20.0"/>
    <col customWidth="1" min="6" max="6" width="18.0"/>
    <col customWidth="1" min="7" max="7" width="22.0"/>
    <col customWidth="1" min="8" max="8" width="34.0"/>
    <col customWidth="1" min="9" max="9" width="18.0"/>
    <col customWidth="1" min="10" max="10" width="13.0"/>
    <col customWidth="1" min="11" max="11" width="16.0"/>
    <col customWidth="1" min="12" max="12" width="28.0"/>
    <col customWidth="1" min="13" max="26" width="8.63"/>
  </cols>
  <sheetData>
    <row r="1">
      <c r="A1" s="6" t="s">
        <v>21</v>
      </c>
      <c r="B1" s="6" t="s">
        <v>24</v>
      </c>
      <c r="C1" s="6" t="s">
        <v>36</v>
      </c>
      <c r="D1" s="6" t="s">
        <v>44</v>
      </c>
      <c r="E1" s="7" t="s">
        <v>50</v>
      </c>
      <c r="F1" s="6" t="s">
        <v>67</v>
      </c>
      <c r="G1" s="6" t="s">
        <v>69</v>
      </c>
      <c r="H1" s="6" t="s">
        <v>70</v>
      </c>
      <c r="I1" s="6" t="s">
        <v>66</v>
      </c>
      <c r="J1" s="6" t="s">
        <v>72</v>
      </c>
      <c r="K1" s="6" t="s">
        <v>68</v>
      </c>
      <c r="L1" s="6" t="s">
        <v>73</v>
      </c>
    </row>
    <row r="2">
      <c r="A2" s="8">
        <v>1.0</v>
      </c>
      <c r="B2" s="8" t="s">
        <v>30</v>
      </c>
      <c r="C2" s="8" t="s">
        <v>76</v>
      </c>
      <c r="D2" s="8" t="s">
        <v>77</v>
      </c>
      <c r="E2" s="8" t="s">
        <v>5</v>
      </c>
      <c r="F2" s="8" t="s">
        <v>78</v>
      </c>
      <c r="G2" s="8" t="s">
        <v>79</v>
      </c>
      <c r="H2" s="8" t="s">
        <v>80</v>
      </c>
      <c r="I2" s="8" t="s">
        <v>81</v>
      </c>
      <c r="J2" s="8" t="s">
        <v>82</v>
      </c>
      <c r="K2" s="9" t="s">
        <v>18</v>
      </c>
      <c r="L2" s="8"/>
    </row>
    <row r="3">
      <c r="A3" s="8">
        <v>2.0</v>
      </c>
      <c r="B3" s="8" t="s">
        <v>30</v>
      </c>
      <c r="C3" s="8" t="s">
        <v>87</v>
      </c>
      <c r="D3" s="8" t="s">
        <v>88</v>
      </c>
      <c r="E3" s="8" t="s">
        <v>5</v>
      </c>
      <c r="F3" s="8" t="s">
        <v>89</v>
      </c>
      <c r="G3" s="8" t="s">
        <v>90</v>
      </c>
      <c r="H3" s="8" t="s">
        <v>91</v>
      </c>
      <c r="I3" s="8" t="s">
        <v>81</v>
      </c>
      <c r="J3" s="8" t="s">
        <v>82</v>
      </c>
      <c r="K3" s="9" t="s">
        <v>18</v>
      </c>
      <c r="L3" s="8"/>
    </row>
    <row r="4">
      <c r="A4" s="8">
        <v>3.0</v>
      </c>
      <c r="B4" s="8" t="s">
        <v>30</v>
      </c>
      <c r="C4" s="8" t="s">
        <v>95</v>
      </c>
      <c r="D4" s="8" t="s">
        <v>97</v>
      </c>
      <c r="E4" s="8" t="s">
        <v>5</v>
      </c>
      <c r="F4" s="8" t="s">
        <v>99</v>
      </c>
      <c r="G4" s="8" t="s">
        <v>101</v>
      </c>
      <c r="H4" s="8" t="s">
        <v>102</v>
      </c>
      <c r="I4" s="8" t="s">
        <v>103</v>
      </c>
      <c r="J4" s="8" t="s">
        <v>104</v>
      </c>
      <c r="K4" s="9" t="s">
        <v>19</v>
      </c>
      <c r="L4" s="8"/>
    </row>
    <row r="5">
      <c r="A5" s="8">
        <v>4.0</v>
      </c>
      <c r="B5" s="8" t="s">
        <v>30</v>
      </c>
      <c r="C5" s="8" t="s">
        <v>108</v>
      </c>
      <c r="D5" s="8" t="s">
        <v>109</v>
      </c>
      <c r="E5" s="8" t="s">
        <v>5</v>
      </c>
      <c r="F5" s="8" t="s">
        <v>99</v>
      </c>
      <c r="G5" s="8" t="s">
        <v>110</v>
      </c>
      <c r="H5" s="8" t="s">
        <v>111</v>
      </c>
      <c r="I5" s="8" t="s">
        <v>81</v>
      </c>
      <c r="J5" s="8" t="s">
        <v>82</v>
      </c>
      <c r="K5" s="9" t="s">
        <v>18</v>
      </c>
      <c r="L5" s="8"/>
    </row>
    <row r="6">
      <c r="A6" s="8">
        <v>5.0</v>
      </c>
      <c r="B6" s="8" t="s">
        <v>30</v>
      </c>
      <c r="C6" s="8" t="s">
        <v>114</v>
      </c>
      <c r="D6" s="8" t="s">
        <v>116</v>
      </c>
      <c r="E6" s="8" t="s">
        <v>9</v>
      </c>
      <c r="F6" s="8" t="s">
        <v>118</v>
      </c>
      <c r="G6" s="8" t="s">
        <v>120</v>
      </c>
      <c r="H6" s="8" t="s">
        <v>121</v>
      </c>
      <c r="I6" s="8" t="s">
        <v>81</v>
      </c>
      <c r="J6" s="8" t="s">
        <v>82</v>
      </c>
      <c r="K6" s="9" t="s">
        <v>19</v>
      </c>
      <c r="L6" s="8"/>
    </row>
    <row r="7">
      <c r="A7" s="8">
        <v>6.0</v>
      </c>
      <c r="B7" s="8" t="s">
        <v>30</v>
      </c>
      <c r="C7" s="8" t="s">
        <v>124</v>
      </c>
      <c r="D7" s="8" t="s">
        <v>125</v>
      </c>
      <c r="E7" s="8" t="s">
        <v>9</v>
      </c>
      <c r="F7" s="8" t="s">
        <v>99</v>
      </c>
      <c r="G7" s="8" t="s">
        <v>110</v>
      </c>
      <c r="H7" s="8" t="s">
        <v>129</v>
      </c>
      <c r="I7" s="8" t="s">
        <v>81</v>
      </c>
      <c r="J7" s="8" t="s">
        <v>82</v>
      </c>
      <c r="K7" s="9" t="s">
        <v>18</v>
      </c>
      <c r="L7" s="8"/>
    </row>
    <row r="8">
      <c r="A8" s="8">
        <v>7.0</v>
      </c>
      <c r="B8" s="8" t="s">
        <v>30</v>
      </c>
      <c r="C8" s="8" t="s">
        <v>133</v>
      </c>
      <c r="D8" s="8" t="s">
        <v>134</v>
      </c>
      <c r="E8" s="8" t="s">
        <v>13</v>
      </c>
      <c r="F8" s="8" t="s">
        <v>135</v>
      </c>
      <c r="G8" s="8" t="s">
        <v>136</v>
      </c>
      <c r="H8" s="8" t="s">
        <v>138</v>
      </c>
      <c r="I8" s="8" t="s">
        <v>81</v>
      </c>
      <c r="J8" s="8" t="s">
        <v>82</v>
      </c>
      <c r="K8" s="9" t="s">
        <v>18</v>
      </c>
      <c r="L8" s="8"/>
    </row>
    <row r="9">
      <c r="A9" s="8">
        <v>8.0</v>
      </c>
      <c r="B9" s="8" t="s">
        <v>30</v>
      </c>
      <c r="C9" s="8" t="s">
        <v>145</v>
      </c>
      <c r="D9" s="8" t="s">
        <v>150</v>
      </c>
      <c r="E9" s="8" t="s">
        <v>13</v>
      </c>
      <c r="F9" s="8" t="s">
        <v>89</v>
      </c>
      <c r="G9" s="8" t="s">
        <v>155</v>
      </c>
      <c r="H9" s="8" t="s">
        <v>156</v>
      </c>
      <c r="I9" s="8" t="s">
        <v>81</v>
      </c>
      <c r="J9" s="8" t="s">
        <v>104</v>
      </c>
      <c r="K9" s="9" t="s">
        <v>18</v>
      </c>
      <c r="L9" s="8"/>
    </row>
    <row r="10">
      <c r="A10" s="10">
        <v>9.0</v>
      </c>
      <c r="B10" s="10" t="s">
        <v>30</v>
      </c>
      <c r="C10" s="10" t="s">
        <v>161</v>
      </c>
      <c r="D10" s="10" t="s">
        <v>164</v>
      </c>
      <c r="E10" s="10" t="s">
        <v>13</v>
      </c>
      <c r="F10" s="10" t="s">
        <v>135</v>
      </c>
      <c r="G10" s="10" t="s">
        <v>167</v>
      </c>
      <c r="H10" s="10" t="s">
        <v>169</v>
      </c>
      <c r="I10" s="10" t="s">
        <v>81</v>
      </c>
      <c r="J10" s="10" t="s">
        <v>82</v>
      </c>
      <c r="K10" s="11" t="s">
        <v>18</v>
      </c>
      <c r="L10" s="10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8">
        <v>10.0</v>
      </c>
      <c r="B11" s="8" t="s">
        <v>38</v>
      </c>
      <c r="C11" s="8" t="s">
        <v>179</v>
      </c>
      <c r="D11" s="8" t="s">
        <v>181</v>
      </c>
      <c r="E11" s="8" t="s">
        <v>5</v>
      </c>
      <c r="F11" s="8" t="s">
        <v>89</v>
      </c>
      <c r="G11" s="8" t="s">
        <v>186</v>
      </c>
      <c r="H11" s="8" t="s">
        <v>187</v>
      </c>
      <c r="I11" s="8" t="s">
        <v>103</v>
      </c>
      <c r="J11" s="8" t="s">
        <v>82</v>
      </c>
      <c r="K11" s="9" t="s">
        <v>19</v>
      </c>
      <c r="L11" s="8"/>
    </row>
    <row r="12">
      <c r="A12" s="8">
        <v>11.0</v>
      </c>
      <c r="B12" s="8" t="s">
        <v>38</v>
      </c>
      <c r="C12" s="8" t="s">
        <v>194</v>
      </c>
      <c r="D12" s="8" t="s">
        <v>196</v>
      </c>
      <c r="E12" s="8" t="s">
        <v>5</v>
      </c>
      <c r="F12" s="8" t="s">
        <v>89</v>
      </c>
      <c r="G12" s="8" t="s">
        <v>199</v>
      </c>
      <c r="H12" s="8" t="s">
        <v>201</v>
      </c>
      <c r="I12" s="8" t="s">
        <v>103</v>
      </c>
      <c r="J12" s="8" t="s">
        <v>82</v>
      </c>
      <c r="K12" s="9" t="s">
        <v>19</v>
      </c>
      <c r="L12" s="8"/>
    </row>
    <row r="13">
      <c r="A13" s="8">
        <v>12.0</v>
      </c>
      <c r="B13" s="8" t="s">
        <v>38</v>
      </c>
      <c r="C13" s="8" t="s">
        <v>212</v>
      </c>
      <c r="D13" s="8" t="s">
        <v>214</v>
      </c>
      <c r="E13" s="8" t="s">
        <v>9</v>
      </c>
      <c r="F13" s="8" t="s">
        <v>118</v>
      </c>
      <c r="G13" s="8" t="s">
        <v>215</v>
      </c>
      <c r="H13" s="8" t="s">
        <v>216</v>
      </c>
      <c r="I13" s="8" t="s">
        <v>103</v>
      </c>
      <c r="J13" s="8" t="s">
        <v>82</v>
      </c>
      <c r="K13" s="8" t="s">
        <v>83</v>
      </c>
      <c r="L13" s="8"/>
    </row>
    <row r="14">
      <c r="A14" s="8">
        <v>13.0</v>
      </c>
      <c r="B14" s="8" t="s">
        <v>38</v>
      </c>
      <c r="C14" s="8" t="s">
        <v>223</v>
      </c>
      <c r="D14" s="8" t="s">
        <v>225</v>
      </c>
      <c r="E14" s="8" t="s">
        <v>9</v>
      </c>
      <c r="F14" s="8" t="s">
        <v>99</v>
      </c>
      <c r="G14" s="8" t="s">
        <v>130</v>
      </c>
      <c r="H14" s="8" t="s">
        <v>230</v>
      </c>
      <c r="I14" s="8" t="s">
        <v>103</v>
      </c>
      <c r="J14" s="8" t="s">
        <v>82</v>
      </c>
      <c r="K14" s="8" t="s">
        <v>83</v>
      </c>
      <c r="L14" s="8"/>
    </row>
    <row r="15">
      <c r="A15" s="8">
        <v>14.0</v>
      </c>
      <c r="B15" s="8" t="s">
        <v>38</v>
      </c>
      <c r="C15" s="8" t="s">
        <v>41</v>
      </c>
      <c r="D15" s="8" t="s">
        <v>241</v>
      </c>
      <c r="E15" s="8" t="s">
        <v>13</v>
      </c>
      <c r="F15" s="8" t="s">
        <v>118</v>
      </c>
      <c r="G15" s="8" t="s">
        <v>137</v>
      </c>
      <c r="H15" s="8" t="s">
        <v>243</v>
      </c>
      <c r="I15" s="8" t="s">
        <v>103</v>
      </c>
      <c r="J15" s="8" t="s">
        <v>82</v>
      </c>
      <c r="K15" s="8" t="s">
        <v>83</v>
      </c>
      <c r="L15" s="8"/>
    </row>
    <row r="16">
      <c r="A16" s="8">
        <v>15.0</v>
      </c>
      <c r="B16" s="8" t="s">
        <v>38</v>
      </c>
      <c r="C16" s="8" t="s">
        <v>252</v>
      </c>
      <c r="D16" s="8" t="s">
        <v>254</v>
      </c>
      <c r="E16" s="8" t="s">
        <v>13</v>
      </c>
      <c r="F16" s="8" t="s">
        <v>89</v>
      </c>
      <c r="G16" s="8" t="s">
        <v>137</v>
      </c>
      <c r="H16" s="8" t="s">
        <v>257</v>
      </c>
      <c r="I16" s="8" t="s">
        <v>103</v>
      </c>
      <c r="J16" s="8" t="s">
        <v>82</v>
      </c>
      <c r="K16" s="8" t="s">
        <v>83</v>
      </c>
      <c r="L16" s="8"/>
    </row>
    <row r="17">
      <c r="A17" s="8">
        <v>16.0</v>
      </c>
      <c r="B17" s="8" t="s">
        <v>38</v>
      </c>
      <c r="C17" s="8" t="s">
        <v>264</v>
      </c>
      <c r="D17" s="8" t="s">
        <v>265</v>
      </c>
      <c r="E17" s="8" t="s">
        <v>5</v>
      </c>
      <c r="F17" s="8" t="s">
        <v>78</v>
      </c>
      <c r="G17" s="8" t="s">
        <v>126</v>
      </c>
      <c r="H17" s="8" t="s">
        <v>271</v>
      </c>
      <c r="I17" s="8" t="s">
        <v>103</v>
      </c>
      <c r="J17" s="8" t="s">
        <v>82</v>
      </c>
      <c r="K17" s="8" t="s">
        <v>83</v>
      </c>
      <c r="L17" s="8"/>
    </row>
    <row r="18">
      <c r="A18" s="8">
        <v>17.0</v>
      </c>
      <c r="B18" s="8" t="s">
        <v>38</v>
      </c>
      <c r="C18" s="8" t="s">
        <v>274</v>
      </c>
      <c r="D18" s="8" t="s">
        <v>277</v>
      </c>
      <c r="E18" s="8" t="s">
        <v>9</v>
      </c>
      <c r="F18" s="8" t="s">
        <v>280</v>
      </c>
      <c r="G18" s="8" t="s">
        <v>281</v>
      </c>
      <c r="H18" s="8" t="s">
        <v>282</v>
      </c>
      <c r="I18" s="8" t="s">
        <v>103</v>
      </c>
      <c r="J18" s="8" t="s">
        <v>82</v>
      </c>
      <c r="K18" s="8" t="s">
        <v>83</v>
      </c>
      <c r="L18" s="8"/>
    </row>
    <row r="19">
      <c r="A19" s="10">
        <v>18.0</v>
      </c>
      <c r="B19" s="10" t="s">
        <v>38</v>
      </c>
      <c r="C19" s="10" t="s">
        <v>28</v>
      </c>
      <c r="D19" s="10" t="s">
        <v>291</v>
      </c>
      <c r="E19" s="10" t="s">
        <v>13</v>
      </c>
      <c r="F19" s="10" t="s">
        <v>135</v>
      </c>
      <c r="G19" s="10" t="s">
        <v>293</v>
      </c>
      <c r="H19" s="10" t="s">
        <v>294</v>
      </c>
      <c r="I19" s="10" t="s">
        <v>103</v>
      </c>
      <c r="J19" s="10" t="s">
        <v>104</v>
      </c>
      <c r="K19" s="10" t="s">
        <v>83</v>
      </c>
      <c r="L19" s="10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8">
        <v>19.0</v>
      </c>
      <c r="B20" s="8" t="s">
        <v>45</v>
      </c>
      <c r="C20" s="8" t="s">
        <v>300</v>
      </c>
      <c r="D20" s="8" t="s">
        <v>302</v>
      </c>
      <c r="E20" s="8" t="s">
        <v>5</v>
      </c>
      <c r="F20" s="8" t="s">
        <v>89</v>
      </c>
      <c r="G20" s="8" t="s">
        <v>303</v>
      </c>
      <c r="H20" s="8" t="s">
        <v>305</v>
      </c>
      <c r="I20" s="8" t="s">
        <v>307</v>
      </c>
      <c r="J20" s="8" t="s">
        <v>82</v>
      </c>
      <c r="K20" s="8" t="s">
        <v>83</v>
      </c>
      <c r="L20" s="8"/>
    </row>
    <row r="21" ht="15.75" customHeight="1">
      <c r="A21" s="8">
        <v>20.0</v>
      </c>
      <c r="B21" s="8" t="s">
        <v>45</v>
      </c>
      <c r="C21" s="8" t="s">
        <v>311</v>
      </c>
      <c r="D21" s="8" t="s">
        <v>312</v>
      </c>
      <c r="E21" s="8" t="s">
        <v>9</v>
      </c>
      <c r="F21" s="8" t="s">
        <v>118</v>
      </c>
      <c r="G21" s="8" t="s">
        <v>303</v>
      </c>
      <c r="H21" s="8" t="s">
        <v>313</v>
      </c>
      <c r="I21" s="8" t="s">
        <v>307</v>
      </c>
      <c r="J21" s="8" t="s">
        <v>82</v>
      </c>
      <c r="K21" s="8" t="s">
        <v>83</v>
      </c>
      <c r="L21" s="8"/>
    </row>
    <row r="22" ht="15.75" customHeight="1">
      <c r="A22" s="8">
        <v>21.0</v>
      </c>
      <c r="B22" s="8" t="s">
        <v>45</v>
      </c>
      <c r="C22" s="8" t="s">
        <v>315</v>
      </c>
      <c r="D22" s="8" t="s">
        <v>316</v>
      </c>
      <c r="E22" s="8" t="s">
        <v>13</v>
      </c>
      <c r="F22" s="8" t="s">
        <v>135</v>
      </c>
      <c r="G22" s="8" t="s">
        <v>317</v>
      </c>
      <c r="H22" s="8" t="s">
        <v>318</v>
      </c>
      <c r="I22" s="8" t="s">
        <v>319</v>
      </c>
      <c r="J22" s="8" t="s">
        <v>82</v>
      </c>
      <c r="K22" s="8" t="s">
        <v>83</v>
      </c>
      <c r="L22" s="8"/>
    </row>
    <row r="23" ht="15.75" customHeight="1">
      <c r="A23" s="8">
        <v>22.0</v>
      </c>
      <c r="B23" s="8" t="s">
        <v>45</v>
      </c>
      <c r="C23" s="8" t="s">
        <v>320</v>
      </c>
      <c r="D23" s="8" t="s">
        <v>321</v>
      </c>
      <c r="E23" s="8" t="s">
        <v>9</v>
      </c>
      <c r="F23" s="8" t="s">
        <v>99</v>
      </c>
      <c r="G23" s="8" t="s">
        <v>322</v>
      </c>
      <c r="H23" s="8" t="s">
        <v>323</v>
      </c>
      <c r="I23" s="8" t="s">
        <v>319</v>
      </c>
      <c r="J23" s="8" t="s">
        <v>82</v>
      </c>
      <c r="K23" s="8" t="s">
        <v>83</v>
      </c>
      <c r="L23" s="8"/>
    </row>
    <row r="24" ht="15.75" customHeight="1">
      <c r="A24" s="8">
        <v>23.0</v>
      </c>
      <c r="B24" s="8" t="s">
        <v>45</v>
      </c>
      <c r="C24" s="8" t="s">
        <v>324</v>
      </c>
      <c r="D24" s="8" t="s">
        <v>325</v>
      </c>
      <c r="E24" s="8" t="s">
        <v>13</v>
      </c>
      <c r="F24" s="8" t="s">
        <v>118</v>
      </c>
      <c r="G24" s="8" t="s">
        <v>326</v>
      </c>
      <c r="H24" s="8" t="s">
        <v>327</v>
      </c>
      <c r="I24" s="8" t="s">
        <v>319</v>
      </c>
      <c r="J24" s="8" t="s">
        <v>104</v>
      </c>
      <c r="K24" s="8" t="s">
        <v>83</v>
      </c>
      <c r="L24" s="8"/>
    </row>
    <row r="25" ht="15.75" customHeight="1">
      <c r="A25" s="8">
        <v>24.0</v>
      </c>
      <c r="B25" s="8" t="s">
        <v>45</v>
      </c>
      <c r="C25" s="8" t="s">
        <v>328</v>
      </c>
      <c r="D25" s="8" t="s">
        <v>329</v>
      </c>
      <c r="E25" s="8" t="s">
        <v>5</v>
      </c>
      <c r="F25" s="8" t="s">
        <v>99</v>
      </c>
      <c r="G25" s="8" t="s">
        <v>330</v>
      </c>
      <c r="H25" s="8" t="s">
        <v>331</v>
      </c>
      <c r="I25" s="8" t="s">
        <v>319</v>
      </c>
      <c r="J25" s="8" t="s">
        <v>104</v>
      </c>
      <c r="K25" s="8" t="s">
        <v>83</v>
      </c>
      <c r="L25" s="8"/>
    </row>
    <row r="26" ht="15.75" customHeight="1">
      <c r="A26" s="8">
        <v>25.0</v>
      </c>
      <c r="B26" s="8" t="s">
        <v>45</v>
      </c>
      <c r="C26" s="8" t="s">
        <v>332</v>
      </c>
      <c r="D26" s="8" t="s">
        <v>333</v>
      </c>
      <c r="E26" s="8" t="s">
        <v>5</v>
      </c>
      <c r="F26" s="8" t="s">
        <v>89</v>
      </c>
      <c r="G26" s="8" t="s">
        <v>157</v>
      </c>
      <c r="H26" s="8" t="s">
        <v>334</v>
      </c>
      <c r="I26" s="8" t="s">
        <v>319</v>
      </c>
      <c r="J26" s="8" t="s">
        <v>82</v>
      </c>
      <c r="K26" s="8" t="s">
        <v>83</v>
      </c>
      <c r="L26" s="8"/>
    </row>
    <row r="27" ht="15.75" customHeight="1">
      <c r="A27" s="8">
        <v>26.0</v>
      </c>
      <c r="B27" s="8" t="s">
        <v>45</v>
      </c>
      <c r="C27" s="8" t="s">
        <v>335</v>
      </c>
      <c r="D27" s="8" t="s">
        <v>336</v>
      </c>
      <c r="E27" s="8" t="s">
        <v>13</v>
      </c>
      <c r="F27" s="8" t="s">
        <v>135</v>
      </c>
      <c r="G27" s="8" t="s">
        <v>337</v>
      </c>
      <c r="H27" s="8" t="s">
        <v>338</v>
      </c>
      <c r="I27" s="8" t="s">
        <v>319</v>
      </c>
      <c r="J27" s="8" t="s">
        <v>82</v>
      </c>
      <c r="K27" s="8" t="s">
        <v>83</v>
      </c>
      <c r="L27" s="8"/>
    </row>
    <row r="28" ht="15.75" customHeight="1">
      <c r="A28" s="10">
        <v>27.0</v>
      </c>
      <c r="B28" s="10" t="s">
        <v>45</v>
      </c>
      <c r="C28" s="10" t="s">
        <v>339</v>
      </c>
      <c r="D28" s="10" t="s">
        <v>340</v>
      </c>
      <c r="E28" s="10" t="s">
        <v>9</v>
      </c>
      <c r="F28" s="10" t="s">
        <v>280</v>
      </c>
      <c r="G28" s="10" t="s">
        <v>341</v>
      </c>
      <c r="H28" s="10" t="s">
        <v>342</v>
      </c>
      <c r="I28" s="10" t="s">
        <v>319</v>
      </c>
      <c r="J28" s="10" t="s">
        <v>104</v>
      </c>
      <c r="K28" s="10" t="s">
        <v>83</v>
      </c>
      <c r="L28" s="10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8">
        <v>28.0</v>
      </c>
      <c r="B29" s="8" t="s">
        <v>53</v>
      </c>
      <c r="C29" s="8" t="s">
        <v>343</v>
      </c>
      <c r="D29" s="8" t="s">
        <v>344</v>
      </c>
      <c r="E29" s="8" t="s">
        <v>13</v>
      </c>
      <c r="F29" s="8" t="s">
        <v>118</v>
      </c>
      <c r="G29" s="8" t="s">
        <v>345</v>
      </c>
      <c r="H29" s="8" t="s">
        <v>346</v>
      </c>
      <c r="I29" s="8" t="s">
        <v>347</v>
      </c>
      <c r="J29" s="8" t="s">
        <v>82</v>
      </c>
      <c r="K29" s="8" t="s">
        <v>83</v>
      </c>
      <c r="L29" s="8" t="s">
        <v>348</v>
      </c>
    </row>
    <row r="30" ht="15.75" customHeight="1">
      <c r="A30" s="8">
        <v>29.0</v>
      </c>
      <c r="B30" s="8" t="s">
        <v>53</v>
      </c>
      <c r="C30" s="8" t="s">
        <v>349</v>
      </c>
      <c r="D30" s="8" t="s">
        <v>350</v>
      </c>
      <c r="E30" s="8" t="s">
        <v>13</v>
      </c>
      <c r="F30" s="8" t="s">
        <v>89</v>
      </c>
      <c r="G30" s="8" t="s">
        <v>143</v>
      </c>
      <c r="H30" s="8" t="s">
        <v>351</v>
      </c>
      <c r="I30" s="8" t="s">
        <v>352</v>
      </c>
      <c r="J30" s="8" t="s">
        <v>82</v>
      </c>
      <c r="K30" s="8" t="s">
        <v>83</v>
      </c>
      <c r="L30" s="8"/>
    </row>
    <row r="31" ht="15.75" customHeight="1">
      <c r="A31" s="8">
        <v>30.0</v>
      </c>
      <c r="B31" s="8" t="s">
        <v>53</v>
      </c>
      <c r="C31" s="8" t="s">
        <v>353</v>
      </c>
      <c r="D31" s="8" t="s">
        <v>354</v>
      </c>
      <c r="E31" s="8" t="s">
        <v>13</v>
      </c>
      <c r="F31" s="8" t="s">
        <v>118</v>
      </c>
      <c r="G31" s="8" t="s">
        <v>143</v>
      </c>
      <c r="H31" s="8" t="s">
        <v>355</v>
      </c>
      <c r="I31" s="8" t="s">
        <v>352</v>
      </c>
      <c r="J31" s="8" t="s">
        <v>82</v>
      </c>
      <c r="K31" s="8" t="s">
        <v>83</v>
      </c>
      <c r="L31" s="8"/>
    </row>
    <row r="32" ht="15.75" customHeight="1">
      <c r="A32" s="8">
        <v>31.0</v>
      </c>
      <c r="B32" s="8" t="s">
        <v>53</v>
      </c>
      <c r="C32" s="8" t="s">
        <v>356</v>
      </c>
      <c r="D32" s="8" t="s">
        <v>357</v>
      </c>
      <c r="E32" s="8" t="s">
        <v>9</v>
      </c>
      <c r="F32" s="8" t="s">
        <v>99</v>
      </c>
      <c r="G32" s="8" t="s">
        <v>358</v>
      </c>
      <c r="H32" s="8" t="s">
        <v>359</v>
      </c>
      <c r="I32" s="8" t="s">
        <v>360</v>
      </c>
      <c r="J32" s="8" t="s">
        <v>82</v>
      </c>
      <c r="K32" s="8" t="s">
        <v>83</v>
      </c>
      <c r="L32" s="8"/>
    </row>
    <row r="33" ht="15.75" customHeight="1">
      <c r="A33" s="8">
        <v>32.0</v>
      </c>
      <c r="B33" s="8" t="s">
        <v>53</v>
      </c>
      <c r="C33" s="8" t="s">
        <v>361</v>
      </c>
      <c r="D33" s="8" t="s">
        <v>362</v>
      </c>
      <c r="E33" s="8" t="s">
        <v>5</v>
      </c>
      <c r="F33" s="8" t="s">
        <v>78</v>
      </c>
      <c r="G33" s="8" t="s">
        <v>330</v>
      </c>
      <c r="H33" s="8" t="s">
        <v>363</v>
      </c>
      <c r="I33" s="8" t="s">
        <v>360</v>
      </c>
      <c r="J33" s="8" t="s">
        <v>82</v>
      </c>
      <c r="K33" s="8" t="s">
        <v>83</v>
      </c>
      <c r="L33" s="8"/>
    </row>
    <row r="34" ht="15.75" customHeight="1">
      <c r="A34" s="8">
        <v>33.0</v>
      </c>
      <c r="B34" s="8" t="s">
        <v>53</v>
      </c>
      <c r="C34" s="8" t="s">
        <v>364</v>
      </c>
      <c r="D34" s="8" t="s">
        <v>365</v>
      </c>
      <c r="E34" s="8" t="s">
        <v>13</v>
      </c>
      <c r="F34" s="8" t="s">
        <v>89</v>
      </c>
      <c r="G34" s="8" t="s">
        <v>143</v>
      </c>
      <c r="H34" s="8" t="s">
        <v>366</v>
      </c>
      <c r="I34" s="8" t="s">
        <v>360</v>
      </c>
      <c r="J34" s="8" t="s">
        <v>82</v>
      </c>
      <c r="K34" s="8" t="s">
        <v>83</v>
      </c>
      <c r="L34" s="8"/>
    </row>
    <row r="35" ht="15.75" customHeight="1">
      <c r="A35" s="8">
        <v>34.0</v>
      </c>
      <c r="B35" s="8" t="s">
        <v>53</v>
      </c>
      <c r="C35" s="8" t="s">
        <v>367</v>
      </c>
      <c r="D35" s="8" t="s">
        <v>368</v>
      </c>
      <c r="E35" s="8" t="s">
        <v>5</v>
      </c>
      <c r="F35" s="8" t="s">
        <v>78</v>
      </c>
      <c r="G35" s="8" t="s">
        <v>330</v>
      </c>
      <c r="H35" s="8" t="s">
        <v>369</v>
      </c>
      <c r="I35" s="8" t="s">
        <v>360</v>
      </c>
      <c r="J35" s="8" t="s">
        <v>82</v>
      </c>
      <c r="K35" s="8" t="s">
        <v>83</v>
      </c>
      <c r="L35" s="8"/>
    </row>
    <row r="36" ht="15.75" customHeight="1">
      <c r="A36" s="8">
        <v>35.0</v>
      </c>
      <c r="B36" s="8" t="s">
        <v>53</v>
      </c>
      <c r="C36" s="8" t="s">
        <v>182</v>
      </c>
      <c r="D36" s="8" t="s">
        <v>370</v>
      </c>
      <c r="E36" s="8" t="s">
        <v>9</v>
      </c>
      <c r="F36" s="8" t="s">
        <v>280</v>
      </c>
      <c r="G36" s="8" t="s">
        <v>371</v>
      </c>
      <c r="H36" s="8" t="s">
        <v>372</v>
      </c>
      <c r="I36" s="8" t="s">
        <v>360</v>
      </c>
      <c r="J36" s="8" t="s">
        <v>82</v>
      </c>
      <c r="K36" s="8" t="s">
        <v>83</v>
      </c>
      <c r="L36" s="8"/>
    </row>
    <row r="37" ht="15.75" customHeight="1">
      <c r="A37" s="10">
        <v>36.0</v>
      </c>
      <c r="B37" s="10" t="s">
        <v>53</v>
      </c>
      <c r="C37" s="10" t="s">
        <v>373</v>
      </c>
      <c r="D37" s="10" t="s">
        <v>374</v>
      </c>
      <c r="E37" s="10" t="s">
        <v>9</v>
      </c>
      <c r="F37" s="10" t="s">
        <v>280</v>
      </c>
      <c r="G37" s="10" t="s">
        <v>200</v>
      </c>
      <c r="H37" s="10" t="s">
        <v>375</v>
      </c>
      <c r="I37" s="10" t="s">
        <v>360</v>
      </c>
      <c r="J37" s="10" t="s">
        <v>104</v>
      </c>
      <c r="K37" s="10" t="s">
        <v>83</v>
      </c>
      <c r="L37" s="10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8">
        <v>37.0</v>
      </c>
      <c r="B38" s="8" t="s">
        <v>60</v>
      </c>
      <c r="C38" s="8" t="s">
        <v>376</v>
      </c>
      <c r="D38" s="8" t="s">
        <v>377</v>
      </c>
      <c r="E38" s="8" t="s">
        <v>5</v>
      </c>
      <c r="F38" s="8" t="s">
        <v>89</v>
      </c>
      <c r="G38" s="8" t="s">
        <v>378</v>
      </c>
      <c r="H38" s="8" t="s">
        <v>379</v>
      </c>
      <c r="I38" s="8" t="s">
        <v>380</v>
      </c>
      <c r="J38" s="8" t="s">
        <v>82</v>
      </c>
      <c r="K38" s="8" t="s">
        <v>83</v>
      </c>
      <c r="L38" s="8"/>
    </row>
    <row r="39" ht="15.75" customHeight="1">
      <c r="A39" s="8">
        <v>38.0</v>
      </c>
      <c r="B39" s="8" t="s">
        <v>60</v>
      </c>
      <c r="C39" s="8" t="s">
        <v>298</v>
      </c>
      <c r="D39" s="8" t="s">
        <v>381</v>
      </c>
      <c r="E39" s="8" t="s">
        <v>13</v>
      </c>
      <c r="F39" s="8" t="s">
        <v>135</v>
      </c>
      <c r="G39" s="8" t="s">
        <v>209</v>
      </c>
      <c r="H39" s="8" t="s">
        <v>213</v>
      </c>
      <c r="I39" s="8" t="s">
        <v>380</v>
      </c>
      <c r="J39" s="8" t="s">
        <v>82</v>
      </c>
      <c r="K39" s="8" t="s">
        <v>83</v>
      </c>
      <c r="L39" s="8"/>
    </row>
    <row r="40" ht="15.75" customHeight="1">
      <c r="A40" s="8">
        <v>39.0</v>
      </c>
      <c r="B40" s="8" t="s">
        <v>60</v>
      </c>
      <c r="C40" s="8" t="s">
        <v>382</v>
      </c>
      <c r="D40" s="8" t="s">
        <v>383</v>
      </c>
      <c r="E40" s="8" t="s">
        <v>5</v>
      </c>
      <c r="F40" s="8" t="s">
        <v>99</v>
      </c>
      <c r="G40" s="8" t="s">
        <v>217</v>
      </c>
      <c r="H40" s="8" t="s">
        <v>384</v>
      </c>
      <c r="I40" s="8" t="s">
        <v>380</v>
      </c>
      <c r="J40" s="8" t="s">
        <v>104</v>
      </c>
      <c r="K40" s="8" t="s">
        <v>83</v>
      </c>
      <c r="L40" s="8"/>
    </row>
    <row r="41" ht="15.75" customHeight="1">
      <c r="A41" s="8">
        <v>40.0</v>
      </c>
      <c r="B41" s="8" t="s">
        <v>60</v>
      </c>
      <c r="C41" s="8" t="s">
        <v>385</v>
      </c>
      <c r="D41" s="8" t="s">
        <v>386</v>
      </c>
      <c r="E41" s="8" t="s">
        <v>9</v>
      </c>
      <c r="F41" s="8" t="s">
        <v>280</v>
      </c>
      <c r="G41" s="8" t="s">
        <v>387</v>
      </c>
      <c r="H41" s="8" t="s">
        <v>388</v>
      </c>
      <c r="I41" s="8" t="s">
        <v>380</v>
      </c>
      <c r="J41" s="8" t="s">
        <v>82</v>
      </c>
      <c r="K41" s="8" t="s">
        <v>83</v>
      </c>
      <c r="L41" s="8"/>
    </row>
    <row r="42" ht="15.75" customHeight="1">
      <c r="A42" s="8">
        <v>41.0</v>
      </c>
      <c r="B42" s="8" t="s">
        <v>60</v>
      </c>
      <c r="C42" s="8" t="s">
        <v>266</v>
      </c>
      <c r="D42" s="8" t="s">
        <v>389</v>
      </c>
      <c r="E42" s="8" t="s">
        <v>13</v>
      </c>
      <c r="F42" s="8" t="s">
        <v>135</v>
      </c>
      <c r="G42" s="8" t="s">
        <v>266</v>
      </c>
      <c r="H42" s="8" t="s">
        <v>390</v>
      </c>
      <c r="I42" s="8" t="s">
        <v>380</v>
      </c>
      <c r="J42" s="8" t="s">
        <v>82</v>
      </c>
      <c r="K42" s="8" t="s">
        <v>83</v>
      </c>
      <c r="L42" s="8"/>
    </row>
    <row r="43" ht="15.75" customHeight="1">
      <c r="A43" s="8">
        <v>42.0</v>
      </c>
      <c r="B43" s="8" t="s">
        <v>60</v>
      </c>
      <c r="C43" s="8" t="s">
        <v>391</v>
      </c>
      <c r="D43" s="8" t="s">
        <v>392</v>
      </c>
      <c r="E43" s="8" t="s">
        <v>9</v>
      </c>
      <c r="F43" s="8" t="s">
        <v>280</v>
      </c>
      <c r="G43" s="8" t="s">
        <v>266</v>
      </c>
      <c r="H43" s="8" t="s">
        <v>393</v>
      </c>
      <c r="I43" s="8" t="s">
        <v>394</v>
      </c>
      <c r="J43" s="8" t="s">
        <v>82</v>
      </c>
      <c r="K43" s="8" t="s">
        <v>83</v>
      </c>
      <c r="L43" s="8"/>
    </row>
    <row r="44" ht="15.75" customHeight="1">
      <c r="A44" s="8">
        <v>43.0</v>
      </c>
      <c r="B44" s="8" t="s">
        <v>60</v>
      </c>
      <c r="C44" s="8" t="s">
        <v>395</v>
      </c>
      <c r="D44" s="8" t="s">
        <v>396</v>
      </c>
      <c r="E44" s="8" t="s">
        <v>13</v>
      </c>
      <c r="F44" s="8" t="s">
        <v>135</v>
      </c>
      <c r="G44" s="8" t="s">
        <v>397</v>
      </c>
      <c r="H44" s="8" t="s">
        <v>398</v>
      </c>
      <c r="I44" s="8" t="s">
        <v>394</v>
      </c>
      <c r="J44" s="8" t="s">
        <v>82</v>
      </c>
      <c r="K44" s="8" t="s">
        <v>83</v>
      </c>
      <c r="L44" s="8"/>
    </row>
    <row r="45" ht="15.75" customHeight="1">
      <c r="A45" s="8">
        <v>44.0</v>
      </c>
      <c r="B45" s="8" t="s">
        <v>60</v>
      </c>
      <c r="C45" s="8" t="s">
        <v>399</v>
      </c>
      <c r="D45" s="8" t="s">
        <v>400</v>
      </c>
      <c r="E45" s="8" t="s">
        <v>5</v>
      </c>
      <c r="F45" s="8" t="s">
        <v>78</v>
      </c>
      <c r="G45" s="8" t="s">
        <v>401</v>
      </c>
      <c r="H45" s="8" t="s">
        <v>402</v>
      </c>
      <c r="I45" s="8" t="s">
        <v>394</v>
      </c>
      <c r="J45" s="8" t="s">
        <v>82</v>
      </c>
      <c r="K45" s="8" t="s">
        <v>83</v>
      </c>
      <c r="L45" s="8"/>
    </row>
    <row r="46" ht="15.75" customHeight="1">
      <c r="A46" s="8">
        <v>45.0</v>
      </c>
      <c r="B46" s="8" t="s">
        <v>60</v>
      </c>
      <c r="C46" s="8" t="s">
        <v>403</v>
      </c>
      <c r="D46" s="8" t="s">
        <v>404</v>
      </c>
      <c r="E46" s="8" t="s">
        <v>9</v>
      </c>
      <c r="F46" s="8" t="s">
        <v>280</v>
      </c>
      <c r="G46" s="8" t="s">
        <v>405</v>
      </c>
      <c r="H46" s="8" t="s">
        <v>406</v>
      </c>
      <c r="I46" s="8" t="s">
        <v>407</v>
      </c>
      <c r="J46" s="8" t="s">
        <v>82</v>
      </c>
      <c r="K46" s="8" t="s">
        <v>83</v>
      </c>
      <c r="L46" s="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46">
    <cfRule type="expression" dxfId="8" priority="1">
      <formula>K2="Hoàn thành"</formula>
    </cfRule>
  </conditionalFormatting>
  <conditionalFormatting sqref="K2:K46">
    <cfRule type="expression" dxfId="9" priority="2">
      <formula>K2="Đang làm"</formula>
    </cfRule>
  </conditionalFormatting>
  <conditionalFormatting sqref="K2:K46">
    <cfRule type="expression" dxfId="10" priority="3">
      <formula>K2="Bị chặn"</formula>
    </cfRule>
  </conditionalFormatting>
  <conditionalFormatting sqref="K2:K46">
    <cfRule type="expression" dxfId="11" priority="4">
      <formula>K2="Chưa bắt đầu"</formula>
    </cfRule>
  </conditionalFormatting>
  <dataValidations>
    <dataValidation type="list" allowBlank="1" sqref="J2:J46">
      <formula1>"Cao,Trung bình,Thấp"</formula1>
    </dataValidation>
    <dataValidation type="list" allowBlank="1" sqref="K2:K46">
      <formula1>"Chưa bắt đầu,Đang làm,Hoàn thành,Bị chặn"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4" width="32.0"/>
    <col customWidth="1" min="5" max="5" width="28.0"/>
    <col customWidth="1" min="6" max="6" width="26.0"/>
    <col customWidth="1" min="7" max="26" width="8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s">
        <v>6</v>
      </c>
      <c r="C4" s="3" t="s">
        <v>7</v>
      </c>
      <c r="D4" s="3" t="s">
        <v>8</v>
      </c>
    </row>
    <row r="5">
      <c r="A5" s="3" t="s">
        <v>9</v>
      </c>
      <c r="B5" s="3" t="s">
        <v>10</v>
      </c>
      <c r="C5" s="3" t="s">
        <v>11</v>
      </c>
      <c r="D5" s="3" t="s">
        <v>12</v>
      </c>
    </row>
    <row r="6">
      <c r="A6" s="3" t="s">
        <v>13</v>
      </c>
      <c r="B6" s="3" t="s">
        <v>14</v>
      </c>
      <c r="C6" s="3" t="s">
        <v>15</v>
      </c>
      <c r="D6" s="3" t="s">
        <v>16</v>
      </c>
    </row>
    <row r="8">
      <c r="A8" s="4" t="s">
        <v>1</v>
      </c>
      <c r="B8" s="4" t="s">
        <v>17</v>
      </c>
      <c r="C8" s="4" t="s">
        <v>18</v>
      </c>
      <c r="D8" s="4" t="s">
        <v>19</v>
      </c>
      <c r="E8" s="4" t="s">
        <v>20</v>
      </c>
    </row>
    <row r="9">
      <c r="A9" s="5" t="s">
        <v>5</v>
      </c>
      <c r="B9" s="5">
        <f>COUNTIF(Ke_hoach_5_tuan!E2:E46,A9)</f>
        <v>15</v>
      </c>
      <c r="C9" s="5">
        <f>COUNTIFS(Ke_hoach_5_tuan!E2:E46,A9,Ke_hoach_5_tuan!K2:K46,"Hoàn thành")</f>
        <v>3</v>
      </c>
      <c r="D9" s="5">
        <f>COUNTIFS(Ke_hoach_5_tuan!E2:E46,A9,Ke_hoach_5_tuan!K2:K46,"Đang làm")</f>
        <v>3</v>
      </c>
      <c r="E9" s="5">
        <f t="shared" ref="E9:E11" si="1">B9-C9</f>
        <v>12</v>
      </c>
    </row>
    <row r="10">
      <c r="A10" s="5" t="s">
        <v>9</v>
      </c>
      <c r="B10" s="5">
        <f>COUNTIF(Ke_hoach_5_tuan!E2:E46,A10)</f>
        <v>14</v>
      </c>
      <c r="C10" s="5">
        <f>COUNTIFS(Ke_hoach_5_tuan!E2:E46,A10,Ke_hoach_5_tuan!K2:K46,"Hoàn thành")</f>
        <v>1</v>
      </c>
      <c r="D10" s="5">
        <f>COUNTIFS(Ke_hoach_5_tuan!E2:E46,A10,Ke_hoach_5_tuan!K2:K46,"Đang làm")</f>
        <v>1</v>
      </c>
      <c r="E10" s="5">
        <f t="shared" si="1"/>
        <v>13</v>
      </c>
    </row>
    <row r="11">
      <c r="A11" s="5" t="s">
        <v>13</v>
      </c>
      <c r="B11" s="5">
        <f>COUNTIF(Ke_hoach_5_tuan!E2:E46,A11)</f>
        <v>16</v>
      </c>
      <c r="C11" s="5">
        <f>COUNTIFS(Ke_hoach_5_tuan!E2:E46,A11,Ke_hoach_5_tuan!K2:K46,"Hoàn thành")</f>
        <v>3</v>
      </c>
      <c r="D11" s="5">
        <f>COUNTIFS(Ke_hoach_5_tuan!E2:E46,A11,Ke_hoach_5_tuan!K2:K46,"Đang làm")</f>
        <v>0</v>
      </c>
      <c r="E11" s="5">
        <f t="shared" si="1"/>
        <v>13</v>
      </c>
    </row>
    <row r="12">
      <c r="A12" s="5" t="s">
        <v>23</v>
      </c>
      <c r="B12" s="5">
        <f t="shared" ref="B12:E12" si="2">SUM(B9:B11)</f>
        <v>45</v>
      </c>
      <c r="C12" s="5">
        <f t="shared" si="2"/>
        <v>7</v>
      </c>
      <c r="D12" s="5">
        <f t="shared" si="2"/>
        <v>4</v>
      </c>
      <c r="E12" s="5">
        <f t="shared" si="2"/>
        <v>38</v>
      </c>
    </row>
    <row r="14">
      <c r="A14" s="2" t="s">
        <v>24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</row>
    <row r="15">
      <c r="A15" s="3" t="s">
        <v>30</v>
      </c>
      <c r="B15" s="3" t="s">
        <v>31</v>
      </c>
      <c r="C15" s="3" t="s">
        <v>33</v>
      </c>
      <c r="D15" s="3" t="s">
        <v>34</v>
      </c>
      <c r="E15" s="3" t="s">
        <v>35</v>
      </c>
      <c r="F15" s="3" t="s">
        <v>37</v>
      </c>
    </row>
    <row r="16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42</v>
      </c>
      <c r="F16" s="3" t="s">
        <v>43</v>
      </c>
    </row>
    <row r="17">
      <c r="A17" s="3" t="s">
        <v>45</v>
      </c>
      <c r="B17" s="3" t="s">
        <v>46</v>
      </c>
      <c r="C17" s="3" t="s">
        <v>47</v>
      </c>
      <c r="D17" s="3" t="s">
        <v>49</v>
      </c>
      <c r="E17" s="3" t="s">
        <v>51</v>
      </c>
      <c r="F17" s="3" t="s">
        <v>52</v>
      </c>
    </row>
    <row r="18">
      <c r="A18" s="3" t="s">
        <v>53</v>
      </c>
      <c r="B18" s="3" t="s">
        <v>54</v>
      </c>
      <c r="C18" s="3" t="s">
        <v>55</v>
      </c>
      <c r="D18" s="3" t="s">
        <v>56</v>
      </c>
      <c r="E18" s="3" t="s">
        <v>57</v>
      </c>
      <c r="F18" s="3" t="s">
        <v>59</v>
      </c>
    </row>
    <row r="19">
      <c r="A19" s="3" t="s">
        <v>60</v>
      </c>
      <c r="B19" s="3" t="s">
        <v>61</v>
      </c>
      <c r="C19" s="3" t="s">
        <v>62</v>
      </c>
      <c r="D19" s="3" t="s">
        <v>63</v>
      </c>
      <c r="E19" s="3" t="s">
        <v>64</v>
      </c>
      <c r="F19" s="3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78.0"/>
    <col customWidth="1" min="3" max="3" width="40.0"/>
    <col customWidth="1" min="4" max="4" width="18.0"/>
    <col customWidth="1" min="5" max="5" width="14.0"/>
    <col customWidth="1" min="6" max="6" width="16.0"/>
    <col customWidth="1" min="7" max="26" width="8.63"/>
  </cols>
  <sheetData>
    <row r="1">
      <c r="A1" s="6" t="s">
        <v>22</v>
      </c>
      <c r="B1" s="6" t="s">
        <v>32</v>
      </c>
      <c r="C1" s="6" t="s">
        <v>48</v>
      </c>
      <c r="D1" s="6" t="s">
        <v>58</v>
      </c>
      <c r="E1" s="6" t="s">
        <v>66</v>
      </c>
      <c r="F1" s="6" t="s">
        <v>68</v>
      </c>
    </row>
    <row r="2">
      <c r="A2" s="8" t="s">
        <v>71</v>
      </c>
      <c r="B2" s="8" t="s">
        <v>74</v>
      </c>
      <c r="C2" s="8" t="s">
        <v>75</v>
      </c>
      <c r="D2" s="8" t="s">
        <v>5</v>
      </c>
      <c r="E2" s="8" t="s">
        <v>30</v>
      </c>
      <c r="F2" s="8" t="s">
        <v>83</v>
      </c>
    </row>
    <row r="3">
      <c r="A3" s="8" t="s">
        <v>84</v>
      </c>
      <c r="B3" s="8" t="s">
        <v>85</v>
      </c>
      <c r="C3" s="8" t="s">
        <v>86</v>
      </c>
      <c r="D3" s="8" t="s">
        <v>5</v>
      </c>
      <c r="E3" s="8" t="s">
        <v>30</v>
      </c>
      <c r="F3" s="8" t="s">
        <v>83</v>
      </c>
    </row>
    <row r="4">
      <c r="A4" s="8" t="s">
        <v>92</v>
      </c>
      <c r="B4" s="8" t="s">
        <v>93</v>
      </c>
      <c r="C4" s="8" t="s">
        <v>94</v>
      </c>
      <c r="D4" s="8" t="s">
        <v>13</v>
      </c>
      <c r="E4" s="8" t="s">
        <v>30</v>
      </c>
      <c r="F4" s="8" t="s">
        <v>83</v>
      </c>
    </row>
    <row r="5">
      <c r="A5" s="8" t="s">
        <v>96</v>
      </c>
      <c r="B5" s="8" t="s">
        <v>98</v>
      </c>
      <c r="C5" s="8" t="s">
        <v>100</v>
      </c>
      <c r="D5" s="8" t="s">
        <v>13</v>
      </c>
      <c r="E5" s="8" t="s">
        <v>30</v>
      </c>
      <c r="F5" s="8" t="s">
        <v>83</v>
      </c>
    </row>
    <row r="6">
      <c r="A6" s="8" t="s">
        <v>105</v>
      </c>
      <c r="B6" s="8" t="s">
        <v>106</v>
      </c>
      <c r="C6" s="8" t="s">
        <v>107</v>
      </c>
      <c r="D6" s="8" t="s">
        <v>13</v>
      </c>
      <c r="E6" s="8" t="s">
        <v>30</v>
      </c>
      <c r="F6" s="8" t="s">
        <v>83</v>
      </c>
    </row>
    <row r="7">
      <c r="A7" s="8" t="s">
        <v>90</v>
      </c>
      <c r="B7" s="8" t="s">
        <v>112</v>
      </c>
      <c r="C7" s="8" t="s">
        <v>113</v>
      </c>
      <c r="D7" s="8" t="s">
        <v>5</v>
      </c>
      <c r="E7" s="8" t="s">
        <v>38</v>
      </c>
      <c r="F7" s="8" t="s">
        <v>83</v>
      </c>
    </row>
    <row r="8">
      <c r="A8" s="8" t="s">
        <v>115</v>
      </c>
      <c r="B8" s="8" t="s">
        <v>117</v>
      </c>
      <c r="C8" s="8" t="s">
        <v>119</v>
      </c>
      <c r="D8" s="8" t="s">
        <v>5</v>
      </c>
      <c r="E8" s="8" t="s">
        <v>38</v>
      </c>
      <c r="F8" s="8" t="s">
        <v>83</v>
      </c>
    </row>
    <row r="9">
      <c r="A9" s="8" t="s">
        <v>110</v>
      </c>
      <c r="B9" s="8" t="s">
        <v>122</v>
      </c>
      <c r="C9" s="8" t="s">
        <v>123</v>
      </c>
      <c r="D9" s="8" t="s">
        <v>13</v>
      </c>
      <c r="E9" s="8" t="s">
        <v>30</v>
      </c>
      <c r="F9" s="8" t="s">
        <v>83</v>
      </c>
    </row>
    <row r="10">
      <c r="A10" s="8" t="s">
        <v>126</v>
      </c>
      <c r="B10" s="8" t="s">
        <v>127</v>
      </c>
      <c r="C10" s="8" t="s">
        <v>128</v>
      </c>
      <c r="D10" s="8" t="s">
        <v>5</v>
      </c>
      <c r="E10" s="8" t="s">
        <v>38</v>
      </c>
      <c r="F10" s="8" t="s">
        <v>83</v>
      </c>
    </row>
    <row r="11">
      <c r="A11" s="8" t="s">
        <v>130</v>
      </c>
      <c r="B11" s="8" t="s">
        <v>131</v>
      </c>
      <c r="C11" s="8" t="s">
        <v>132</v>
      </c>
      <c r="D11" s="8" t="s">
        <v>9</v>
      </c>
      <c r="E11" s="8" t="s">
        <v>38</v>
      </c>
      <c r="F11" s="8" t="s">
        <v>83</v>
      </c>
    </row>
    <row r="12">
      <c r="A12" s="8" t="s">
        <v>137</v>
      </c>
      <c r="B12" s="8" t="s">
        <v>139</v>
      </c>
      <c r="C12" s="8" t="s">
        <v>132</v>
      </c>
      <c r="D12" s="8" t="s">
        <v>13</v>
      </c>
      <c r="E12" s="8" t="s">
        <v>38</v>
      </c>
      <c r="F12" s="8" t="s">
        <v>83</v>
      </c>
    </row>
    <row r="13">
      <c r="A13" s="8" t="s">
        <v>143</v>
      </c>
      <c r="B13" s="8" t="s">
        <v>148</v>
      </c>
      <c r="C13" s="8" t="s">
        <v>152</v>
      </c>
      <c r="D13" s="8" t="s">
        <v>13</v>
      </c>
      <c r="E13" s="8" t="s">
        <v>53</v>
      </c>
      <c r="F13" s="8" t="s">
        <v>83</v>
      </c>
    </row>
    <row r="14">
      <c r="A14" s="8" t="s">
        <v>157</v>
      </c>
      <c r="B14" s="8" t="s">
        <v>158</v>
      </c>
      <c r="C14" s="8" t="s">
        <v>159</v>
      </c>
      <c r="D14" s="8" t="s">
        <v>5</v>
      </c>
      <c r="E14" s="8" t="s">
        <v>45</v>
      </c>
      <c r="F14" s="8" t="s">
        <v>83</v>
      </c>
    </row>
    <row r="15">
      <c r="A15" s="8" t="s">
        <v>163</v>
      </c>
      <c r="B15" s="8" t="s">
        <v>165</v>
      </c>
      <c r="C15" s="8" t="s">
        <v>166</v>
      </c>
      <c r="D15" s="8" t="s">
        <v>5</v>
      </c>
      <c r="E15" s="8" t="s">
        <v>53</v>
      </c>
      <c r="F15" s="8" t="s">
        <v>83</v>
      </c>
    </row>
    <row r="16">
      <c r="A16" s="8" t="s">
        <v>172</v>
      </c>
      <c r="B16" s="8" t="s">
        <v>176</v>
      </c>
      <c r="C16" s="8" t="s">
        <v>177</v>
      </c>
      <c r="D16" s="8" t="s">
        <v>9</v>
      </c>
      <c r="E16" s="8" t="s">
        <v>53</v>
      </c>
      <c r="F16" s="8" t="s">
        <v>83</v>
      </c>
    </row>
    <row r="17">
      <c r="A17" s="8" t="s">
        <v>178</v>
      </c>
      <c r="B17" s="8" t="s">
        <v>180</v>
      </c>
      <c r="C17" s="8" t="s">
        <v>182</v>
      </c>
      <c r="D17" s="8" t="s">
        <v>9</v>
      </c>
      <c r="E17" s="8" t="s">
        <v>53</v>
      </c>
      <c r="F17" s="8" t="s">
        <v>83</v>
      </c>
    </row>
    <row r="18">
      <c r="A18" s="8" t="s">
        <v>189</v>
      </c>
      <c r="B18" s="8" t="s">
        <v>190</v>
      </c>
      <c r="C18" s="8" t="s">
        <v>192</v>
      </c>
      <c r="D18" s="8" t="s">
        <v>5</v>
      </c>
      <c r="E18" s="8" t="s">
        <v>60</v>
      </c>
      <c r="F18" s="8" t="s">
        <v>83</v>
      </c>
    </row>
    <row r="19">
      <c r="A19" s="8" t="s">
        <v>200</v>
      </c>
      <c r="B19" s="8" t="s">
        <v>202</v>
      </c>
      <c r="C19" s="8" t="s">
        <v>204</v>
      </c>
      <c r="D19" s="8" t="s">
        <v>9</v>
      </c>
      <c r="E19" s="8" t="s">
        <v>60</v>
      </c>
      <c r="F19" s="8" t="s">
        <v>83</v>
      </c>
    </row>
    <row r="20">
      <c r="A20" s="8" t="s">
        <v>209</v>
      </c>
      <c r="B20" s="8" t="s">
        <v>211</v>
      </c>
      <c r="C20" s="8" t="s">
        <v>213</v>
      </c>
      <c r="D20" s="8" t="s">
        <v>13</v>
      </c>
      <c r="E20" s="8" t="s">
        <v>60</v>
      </c>
      <c r="F20" s="8" t="s">
        <v>83</v>
      </c>
    </row>
    <row r="21" ht="15.75" customHeight="1">
      <c r="A21" s="8" t="s">
        <v>217</v>
      </c>
      <c r="B21" s="8" t="s">
        <v>218</v>
      </c>
      <c r="C21" s="8" t="s">
        <v>220</v>
      </c>
      <c r="D21" s="8" t="s">
        <v>5</v>
      </c>
      <c r="E21" s="8" t="s">
        <v>60</v>
      </c>
      <c r="F21" s="8" t="s">
        <v>83</v>
      </c>
    </row>
    <row r="22" ht="15.75" customHeight="1">
      <c r="A22" s="8" t="s">
        <v>224</v>
      </c>
      <c r="B22" s="8" t="s">
        <v>226</v>
      </c>
      <c r="C22" s="8" t="s">
        <v>227</v>
      </c>
      <c r="D22" s="8" t="s">
        <v>13</v>
      </c>
      <c r="E22" s="8" t="s">
        <v>60</v>
      </c>
      <c r="F22" s="8" t="s">
        <v>83</v>
      </c>
    </row>
    <row r="23" ht="15.75" customHeight="1">
      <c r="A23" s="8" t="s">
        <v>232</v>
      </c>
      <c r="B23" s="8" t="s">
        <v>234</v>
      </c>
      <c r="C23" s="8" t="s">
        <v>236</v>
      </c>
      <c r="D23" s="8" t="s">
        <v>9</v>
      </c>
      <c r="E23" s="8" t="s">
        <v>60</v>
      </c>
      <c r="F23" s="8" t="s">
        <v>83</v>
      </c>
    </row>
    <row r="24" ht="15.75" customHeight="1">
      <c r="A24" s="8" t="s">
        <v>246</v>
      </c>
      <c r="B24" s="8" t="s">
        <v>248</v>
      </c>
      <c r="C24" s="8" t="s">
        <v>250</v>
      </c>
      <c r="D24" s="8" t="s">
        <v>9</v>
      </c>
      <c r="E24" s="8" t="s">
        <v>60</v>
      </c>
      <c r="F24" s="8" t="s">
        <v>83</v>
      </c>
    </row>
    <row r="25" ht="15.75" customHeight="1">
      <c r="A25" s="8" t="s">
        <v>256</v>
      </c>
      <c r="B25" s="8" t="s">
        <v>259</v>
      </c>
      <c r="C25" s="8" t="s">
        <v>260</v>
      </c>
      <c r="D25" s="8" t="s">
        <v>13</v>
      </c>
      <c r="E25" s="8" t="s">
        <v>60</v>
      </c>
      <c r="F25" s="8" t="s">
        <v>83</v>
      </c>
    </row>
    <row r="26" ht="15.75" customHeight="1">
      <c r="A26" s="8" t="s">
        <v>266</v>
      </c>
      <c r="B26" s="8" t="s">
        <v>268</v>
      </c>
      <c r="C26" s="8" t="s">
        <v>270</v>
      </c>
      <c r="D26" s="8" t="s">
        <v>13</v>
      </c>
      <c r="E26" s="8" t="s">
        <v>60</v>
      </c>
      <c r="F26" s="8" t="s">
        <v>83</v>
      </c>
    </row>
    <row r="27" ht="15.75" customHeight="1">
      <c r="A27" s="8" t="s">
        <v>272</v>
      </c>
      <c r="B27" s="8" t="s">
        <v>273</v>
      </c>
      <c r="C27" s="8" t="s">
        <v>276</v>
      </c>
      <c r="D27" s="8" t="s">
        <v>5</v>
      </c>
      <c r="E27" s="8" t="s">
        <v>60</v>
      </c>
      <c r="F27" s="8" t="s">
        <v>83</v>
      </c>
    </row>
    <row r="28" ht="15.75" customHeight="1">
      <c r="A28" s="8" t="s">
        <v>283</v>
      </c>
      <c r="B28" s="8" t="s">
        <v>285</v>
      </c>
      <c r="C28" s="8" t="s">
        <v>287</v>
      </c>
      <c r="D28" s="8" t="s">
        <v>9</v>
      </c>
      <c r="E28" s="8" t="s">
        <v>60</v>
      </c>
      <c r="F28" s="8" t="s">
        <v>83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28">
    <cfRule type="expression" dxfId="5" priority="1">
      <formula>F2="Hoàn thành"</formula>
    </cfRule>
  </conditionalFormatting>
  <conditionalFormatting sqref="F2:F28">
    <cfRule type="expression" dxfId="6" priority="2">
      <formula>F2="Đang làm"</formula>
    </cfRule>
  </conditionalFormatting>
  <conditionalFormatting sqref="F2:F28">
    <cfRule type="expression" dxfId="7" priority="3">
      <formula>F2="Bị chặn"</formula>
    </cfRule>
  </conditionalFormatting>
  <dataValidations>
    <dataValidation type="list" allowBlank="1" sqref="F2:F28">
      <formula1>"Chưa bắt đầu,Đang làm,Hoàn thành,Bị chặn"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0.0"/>
    <col customWidth="1" min="3" max="3" width="24.0"/>
    <col customWidth="1" min="4" max="4" width="52.0"/>
    <col customWidth="1" min="5" max="5" width="16.0"/>
    <col customWidth="1" min="6" max="6" width="48.0"/>
    <col customWidth="1" min="7" max="7" width="16.0"/>
    <col customWidth="1" min="8" max="26" width="8.63"/>
  </cols>
  <sheetData>
    <row r="1">
      <c r="A1" s="6" t="s">
        <v>185</v>
      </c>
      <c r="B1" s="6" t="s">
        <v>191</v>
      </c>
      <c r="C1" s="6" t="s">
        <v>193</v>
      </c>
      <c r="D1" s="6" t="s">
        <v>195</v>
      </c>
      <c r="E1" s="6" t="s">
        <v>197</v>
      </c>
      <c r="F1" s="6" t="s">
        <v>198</v>
      </c>
      <c r="G1" s="6" t="s">
        <v>68</v>
      </c>
    </row>
    <row r="2">
      <c r="A2" s="8" t="s">
        <v>203</v>
      </c>
      <c r="B2" s="8" t="s">
        <v>205</v>
      </c>
      <c r="C2" s="8" t="s">
        <v>206</v>
      </c>
      <c r="D2" s="8" t="s">
        <v>207</v>
      </c>
      <c r="E2" s="8" t="s">
        <v>118</v>
      </c>
      <c r="F2" s="8" t="s">
        <v>208</v>
      </c>
      <c r="G2" s="8" t="s">
        <v>83</v>
      </c>
    </row>
    <row r="3">
      <c r="A3" s="8" t="s">
        <v>203</v>
      </c>
      <c r="B3" s="8" t="s">
        <v>194</v>
      </c>
      <c r="C3" s="8" t="s">
        <v>206</v>
      </c>
      <c r="D3" s="8" t="s">
        <v>221</v>
      </c>
      <c r="E3" s="8" t="s">
        <v>118</v>
      </c>
      <c r="F3" s="8" t="s">
        <v>222</v>
      </c>
      <c r="G3" s="8" t="s">
        <v>83</v>
      </c>
    </row>
    <row r="4">
      <c r="A4" s="8" t="s">
        <v>203</v>
      </c>
      <c r="B4" s="8" t="s">
        <v>212</v>
      </c>
      <c r="C4" s="8" t="s">
        <v>206</v>
      </c>
      <c r="D4" s="8" t="s">
        <v>229</v>
      </c>
      <c r="E4" s="8" t="s">
        <v>89</v>
      </c>
      <c r="F4" s="8" t="s">
        <v>231</v>
      </c>
      <c r="G4" s="8" t="s">
        <v>83</v>
      </c>
    </row>
    <row r="5">
      <c r="A5" s="8" t="s">
        <v>233</v>
      </c>
      <c r="B5" s="8" t="s">
        <v>223</v>
      </c>
      <c r="C5" s="8" t="s">
        <v>168</v>
      </c>
      <c r="D5" s="8" t="s">
        <v>238</v>
      </c>
      <c r="E5" s="8" t="s">
        <v>89</v>
      </c>
      <c r="F5" s="8" t="s">
        <v>242</v>
      </c>
      <c r="G5" s="8" t="s">
        <v>83</v>
      </c>
    </row>
    <row r="6">
      <c r="A6" s="8" t="s">
        <v>233</v>
      </c>
      <c r="B6" s="8" t="s">
        <v>41</v>
      </c>
      <c r="C6" s="8" t="s">
        <v>168</v>
      </c>
      <c r="D6" s="8" t="s">
        <v>244</v>
      </c>
      <c r="E6" s="8" t="s">
        <v>99</v>
      </c>
      <c r="F6" s="8" t="s">
        <v>245</v>
      </c>
      <c r="G6" s="8" t="s">
        <v>83</v>
      </c>
    </row>
    <row r="7">
      <c r="A7" s="8" t="s">
        <v>247</v>
      </c>
      <c r="B7" s="8" t="s">
        <v>249</v>
      </c>
      <c r="C7" s="8" t="s">
        <v>251</v>
      </c>
      <c r="D7" s="8" t="s">
        <v>253</v>
      </c>
      <c r="E7" s="8" t="s">
        <v>99</v>
      </c>
      <c r="F7" s="8" t="s">
        <v>255</v>
      </c>
      <c r="G7" s="8" t="s">
        <v>83</v>
      </c>
    </row>
    <row r="8">
      <c r="A8" s="8" t="s">
        <v>247</v>
      </c>
      <c r="B8" s="8" t="s">
        <v>258</v>
      </c>
      <c r="C8" s="8" t="s">
        <v>251</v>
      </c>
      <c r="D8" s="8" t="s">
        <v>261</v>
      </c>
      <c r="E8" s="8" t="s">
        <v>99</v>
      </c>
      <c r="F8" s="8" t="s">
        <v>262</v>
      </c>
      <c r="G8" s="8" t="s">
        <v>83</v>
      </c>
    </row>
    <row r="9">
      <c r="A9" s="8" t="s">
        <v>247</v>
      </c>
      <c r="B9" s="8" t="s">
        <v>263</v>
      </c>
      <c r="C9" s="8" t="s">
        <v>251</v>
      </c>
      <c r="D9" s="8" t="s">
        <v>267</v>
      </c>
      <c r="E9" s="8" t="s">
        <v>99</v>
      </c>
      <c r="F9" s="8" t="s">
        <v>269</v>
      </c>
      <c r="G9" s="8" t="s">
        <v>83</v>
      </c>
    </row>
    <row r="10">
      <c r="A10" s="8" t="s">
        <v>247</v>
      </c>
      <c r="B10" s="8" t="s">
        <v>275</v>
      </c>
      <c r="C10" s="8" t="s">
        <v>251</v>
      </c>
      <c r="D10" s="8" t="s">
        <v>278</v>
      </c>
      <c r="E10" s="8" t="s">
        <v>89</v>
      </c>
      <c r="F10" s="8" t="s">
        <v>279</v>
      </c>
      <c r="G10" s="8" t="s">
        <v>83</v>
      </c>
    </row>
    <row r="11">
      <c r="A11" s="8" t="s">
        <v>247</v>
      </c>
      <c r="B11" s="8" t="s">
        <v>284</v>
      </c>
      <c r="C11" s="8" t="s">
        <v>251</v>
      </c>
      <c r="D11" s="8" t="s">
        <v>286</v>
      </c>
      <c r="E11" s="8" t="s">
        <v>99</v>
      </c>
      <c r="F11" s="8" t="s">
        <v>288</v>
      </c>
      <c r="G11" s="8" t="s">
        <v>83</v>
      </c>
    </row>
    <row r="12">
      <c r="A12" s="8" t="s">
        <v>247</v>
      </c>
      <c r="B12" s="8" t="s">
        <v>289</v>
      </c>
      <c r="C12" s="8" t="s">
        <v>251</v>
      </c>
      <c r="D12" s="8" t="s">
        <v>290</v>
      </c>
      <c r="E12" s="8" t="s">
        <v>118</v>
      </c>
      <c r="F12" s="8" t="s">
        <v>292</v>
      </c>
      <c r="G12" s="8" t="s">
        <v>83</v>
      </c>
    </row>
    <row r="13">
      <c r="A13" s="8" t="s">
        <v>247</v>
      </c>
      <c r="B13" s="8" t="s">
        <v>295</v>
      </c>
      <c r="C13" s="8" t="s">
        <v>251</v>
      </c>
      <c r="D13" s="8" t="s">
        <v>296</v>
      </c>
      <c r="E13" s="8" t="s">
        <v>118</v>
      </c>
      <c r="F13" s="8" t="s">
        <v>297</v>
      </c>
      <c r="G13" s="8" t="s">
        <v>83</v>
      </c>
    </row>
    <row r="14">
      <c r="A14" s="8" t="s">
        <v>247</v>
      </c>
      <c r="B14" s="8" t="s">
        <v>298</v>
      </c>
      <c r="C14" s="8" t="s">
        <v>299</v>
      </c>
      <c r="D14" s="8" t="s">
        <v>301</v>
      </c>
      <c r="E14" s="8" t="s">
        <v>99</v>
      </c>
      <c r="F14" s="8" t="s">
        <v>209</v>
      </c>
      <c r="G14" s="8" t="s">
        <v>83</v>
      </c>
    </row>
    <row r="15">
      <c r="A15" s="8" t="s">
        <v>304</v>
      </c>
      <c r="B15" s="8" t="s">
        <v>306</v>
      </c>
      <c r="C15" s="8" t="s">
        <v>308</v>
      </c>
      <c r="D15" s="8" t="s">
        <v>309</v>
      </c>
      <c r="E15" s="8" t="s">
        <v>99</v>
      </c>
      <c r="F15" s="8" t="s">
        <v>310</v>
      </c>
      <c r="G15" s="8" t="s">
        <v>83</v>
      </c>
    </row>
    <row r="18">
      <c r="A18" s="15" t="s">
        <v>314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:G18"/>
  </mergeCells>
  <conditionalFormatting sqref="G2:G15">
    <cfRule type="expression" dxfId="5" priority="1">
      <formula>G2="Hoàn thành"</formula>
    </cfRule>
  </conditionalFormatting>
  <conditionalFormatting sqref="G2:G15">
    <cfRule type="expression" dxfId="6" priority="2">
      <formula>G2="Đang làm"</formula>
    </cfRule>
  </conditionalFormatting>
  <conditionalFormatting sqref="G2:G15">
    <cfRule type="expression" dxfId="7" priority="3">
      <formula>G2="Bị chặn"</formula>
    </cfRule>
  </conditionalFormatting>
  <dataValidations>
    <dataValidation type="list" allowBlank="1" sqref="G2:G15">
      <formula1>"Chưa bắt đầu,Đang làm,Hoàn thành,Bị chặn"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